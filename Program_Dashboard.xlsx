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Inventory" sheetId="1" state="visible" r:id="rId3"/>
    <sheet name="Day Summary" sheetId="2" state="visible" r:id="rId4"/>
    <sheet name="Week View" sheetId="3" state="visible" r:id="rId5"/>
    <sheet name="Legend" sheetId="4" state="visible" r:id="rId6"/>
  </sheets>
  <definedNames>
    <definedName function="false" hidden="true" localSheetId="0" name="_xlnm._FilterDatabase" vbProcedure="false">'Content Inventory'!$A$1:$M$89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<sst xmlns="http://schemas.openxmlformats.org/spreadsheetml/2006/main" count="897" uniqueCount="504">
  <si>
    <t xml:space="preserve">Day</t>
  </si>
  <si>
    <t xml:space="preserve">Module #</t>
  </si>
  <si>
    <t xml:space="preserve">Session or Module Name</t>
  </si>
  <si>
    <t xml:space="preserve">Estimated Minutes</t>
  </si>
  <si>
    <t xml:space="preserve">Content Type</t>
  </si>
  <si>
    <t xml:space="preserve">Artifact Type 1</t>
  </si>
  <si>
    <t xml:space="preserve">Artifact Type 2</t>
  </si>
  <si>
    <t xml:space="preserve">Artifact Type 3</t>
  </si>
  <si>
    <t xml:space="preserve">Learner Outcome in Plain Language</t>
  </si>
  <si>
    <t xml:space="preserve">Decisions the Learner Must Make</t>
  </si>
  <si>
    <t xml:space="preserve">Systems or Tools Touched</t>
  </si>
  <si>
    <t xml:space="preserve">Notes</t>
  </si>
  <si>
    <t xml:space="preserve">Status</t>
  </si>
  <si>
    <t xml:space="preserve">D3.01</t>
  </si>
  <si>
    <t xml:space="preserve">Welcome &amp; Billing Overview</t>
  </si>
  <si>
    <t xml:space="preserve">ILT</t>
  </si>
  <si>
    <t xml:space="preserve">Facilitator Guide</t>
  </si>
  <si>
    <t xml:space="preserve">Slide Deck</t>
  </si>
  <si>
    <t xml:space="preserve">I understand what Conservice does, what the billing role expects of me, how I'm supposed to behave during training, and how to ask good questions when I'm stuck.</t>
  </si>
  <si>
    <t xml:space="preserve">Which of the BOB tenets will be hardest for me to live out and why? When do I try to solve a problem on my own versus asking for help? What does 'owning the experience' look like for me personally?</t>
  </si>
  <si>
    <t xml:space="preserve">Zoom</t>
  </si>
  <si>
    <t xml:space="preserve">Built</t>
  </si>
  <si>
    <t xml:space="preserve">D3.02</t>
  </si>
  <si>
    <t xml:space="preserve">The Big Picture: 6-Step Billing Lifecycle</t>
  </si>
  <si>
    <t xml:space="preserve">I understand the 6-step billing lifecycle, how my daily work connects to client outcomes, what my performance will be measured by, and why every step depends on the one before it.</t>
  </si>
  <si>
    <t xml:space="preserve">Which BOB tenet will stretch me most and why? Who ultimately pays for our services — the resident or the property manager? Why is chat responsiveness tied to client outcomes, not just professionalism? What is missing from this question before I ask it? Which of the five core skills am I strongest in, and which do I need to work on?</t>
  </si>
  <si>
    <t xml:space="preserve">Zoom, HRX</t>
  </si>
  <si>
    <t xml:space="preserve">D3.03</t>
  </si>
  <si>
    <t xml:space="preserve">Tool Navigation</t>
  </si>
  <si>
    <t xml:space="preserve">Blended</t>
  </si>
  <si>
    <t xml:space="preserve">eLearning Module</t>
  </si>
  <si>
    <t xml:space="preserve">Knowledge Base Article</t>
  </si>
  <si>
    <t xml:space="preserve">I know where each system lives in the billing workflow, how to open and navigate a task in Skywalker, how to pull up a bill in Foxit, and where provider data gets entered in Fusion — so I don't get lost on my first real task.</t>
  </si>
  <si>
    <t xml:space="preserve">Which system do I open first for this task? Am I in the right tab in Skywalker before I start entering data? Does this bill in Foxit match the account and cycle I'm working on? Is there a CSR Alert I need to read before I can move forward?</t>
  </si>
  <si>
    <t xml:space="preserve">Skywalker, Foxit, Fusion 2.0, Email/Inbox, Knowledge Base</t>
  </si>
  <si>
    <t xml:space="preserve">D3.04</t>
  </si>
  <si>
    <t xml:space="preserve">Inbox &amp; Macro Setup</t>
  </si>
  <si>
    <t xml:space="preserve">Job Aid</t>
  </si>
  <si>
    <t xml:space="preserve">⚠️ DRAFT — I can configure my Outlook/Gmail inbox with the folders, filters, and macros I'll use every day so my email doesn't become a bottleneck.</t>
  </si>
  <si>
    <t xml:space="preserve">⚠️ DRAFT — Which emails get filtered automatically vs. need my attention? Which macros do I set up first?</t>
  </si>
  <si>
    <t xml:space="preserve">Email/Inbox, Outlook or Gmail</t>
  </si>
  <si>
    <t xml:space="preserve">Setup task — pair with IT/onboarding checklist</t>
  </si>
  <si>
    <t xml:space="preserve">Draft</t>
  </si>
  <si>
    <t xml:space="preserve">D3.05</t>
  </si>
  <si>
    <t xml:space="preserve">Intro to Provider Bills: Reading Key Bill Elements</t>
  </si>
  <si>
    <t xml:space="preserve">Sample Bills</t>
  </si>
  <si>
    <t xml:space="preserve">⚠️ DRAFT — I can identify the key elements on a provider bill (account number, service period, charges, usage) and know which fields matter for prep work.</t>
  </si>
  <si>
    <t xml:space="preserve">⚠️ DRAFT — Is this the right bill for the right cycle? Which charges are billable to residents vs. property?</t>
  </si>
  <si>
    <t xml:space="preserve">Foxit, Provider portals</t>
  </si>
  <si>
    <t xml:space="preserve">Pair with sample bills from real providers</t>
  </si>
  <si>
    <t xml:space="preserve">D3.06</t>
  </si>
  <si>
    <t xml:space="preserve">Distinguishing Similar-Looking Values on a Bill</t>
  </si>
  <si>
    <t xml:space="preserve">Activity</t>
  </si>
  <si>
    <t xml:space="preserve">⚠️ DRAFT — I can tell the difference between values that look similar on a provider bill (current charges vs. previous balance, total due vs. amount billed) so I enter the right number.</t>
  </si>
  <si>
    <t xml:space="preserve">⚠️ DRAFT — Which value am I supposed to enter into Fusion? Does the number on the bill match what I'm about to type?</t>
  </si>
  <si>
    <t xml:space="preserve">Foxit, Fusion 2.0</t>
  </si>
  <si>
    <t xml:space="preserve">High-repetition activity recommended</t>
  </si>
  <si>
    <t xml:space="preserve">D3.07</t>
  </si>
  <si>
    <t xml:space="preserve">Prep — Fusion 2.0 &amp; Spreadsheet Simulations</t>
  </si>
  <si>
    <t xml:space="preserve">Simulation</t>
  </si>
  <si>
    <t xml:space="preserve">⚠️ DRAFT — I can complete a prep task in Fusion 2.0 and on a holding spreadsheet, knowing when to use which and how the two connect.</t>
  </si>
  <si>
    <t xml:space="preserve">⚠️ DRAFT — Fusion or spreadsheet for this prop? Did I check the Fusion notes before entering data?</t>
  </si>
  <si>
    <t xml:space="preserve">Fusion 2.0, Spreadsheets, YODA</t>
  </si>
  <si>
    <t xml:space="preserve">D3.08</t>
  </si>
  <si>
    <t xml:space="preserve">Data Entry Accuracy: Common Failure Points &amp; QC Habits</t>
  </si>
  <si>
    <t xml:space="preserve">⚠️ DRAFT — I know the top sources of data entry errors in Fusion 2.0 and the habits that catch them before they leave my desk.</t>
  </si>
  <si>
    <t xml:space="preserve">⚠️ DRAFT — Did I double-check this entry? What's my self-QC habit for each field?</t>
  </si>
  <si>
    <t xml:space="preserve">Fusion 2.0</t>
  </si>
  <si>
    <t xml:space="preserve">Ties to AQC 80% target</t>
  </si>
  <si>
    <t xml:space="preserve">D3.09</t>
  </si>
  <si>
    <t xml:space="preserve">NB / NUFB / State Regulations</t>
  </si>
  <si>
    <t xml:space="preserve">Reference Doc</t>
  </si>
  <si>
    <t xml:space="preserve">⚠️ DRAFT — I know what NB and NUFB mean and where state regulations affect what we can and can't bill.</t>
  </si>
  <si>
    <t xml:space="preserve">⚠️ DRAFT — Is this property in a regulated state? Does this charge comply?</t>
  </si>
  <si>
    <t xml:space="preserve">Knowledge Base, YODA</t>
  </si>
  <si>
    <t xml:space="preserve">Awareness-level only on Day 3</t>
  </si>
  <si>
    <t xml:space="preserve">D3.10</t>
  </si>
  <si>
    <t xml:space="preserve">Client Communication — Introduction to Professional Email &amp; Why It Matters</t>
  </si>
  <si>
    <t xml:space="preserve">Mock Email Template</t>
  </si>
  <si>
    <t xml:space="preserve">⚠️ DRAFT — I understand why client communication matters at Conservice, the elements of a professional email, and when to ask for help instead of guessing.</t>
  </si>
  <si>
    <t xml:space="preserve">⚠️ DRAFT — Is this email professional enough to send? Do I need to loop in my lead?</t>
  </si>
  <si>
    <t xml:space="preserve">Email, Knowledge Base</t>
  </si>
  <si>
    <t xml:space="preserve">Foundation for Day 4+ mock email practice</t>
  </si>
  <si>
    <t xml:space="preserve">D3.11</t>
  </si>
  <si>
    <t xml:space="preserve">EOD 3 Review</t>
  </si>
  <si>
    <t xml:space="preserve">⚠️ DRAFT — I can name the 6 lifecycle steps, the 6 core systems, and the BOB tenets without prompting.</t>
  </si>
  <si>
    <t xml:space="preserve">⚠️ DRAFT — What did I learn today that I need to revisit tonight?</t>
  </si>
  <si>
    <t xml:space="preserve">Daily close-out</t>
  </si>
  <si>
    <t xml:space="preserve">D4.01</t>
  </si>
  <si>
    <t xml:space="preserve">Day 4 Morning Review</t>
  </si>
  <si>
    <t xml:space="preserve">⚠️ DRAFT — I can recall the key Day 3 concepts and ask questions on anything that didn't stick.</t>
  </si>
  <si>
    <t xml:space="preserve">⚠️ DRAFT — What from yesterday do I need clarification on?</t>
  </si>
  <si>
    <t xml:space="preserve">Daily warm-up</t>
  </si>
  <si>
    <t xml:space="preserve">D4.02</t>
  </si>
  <si>
    <t xml:space="preserve">Intro to Skywalker</t>
  </si>
  <si>
    <t xml:space="preserve">⚠️ DRAFT — I can log into Skywalker, navigate the main views, and understand how it differs from YODA.</t>
  </si>
  <si>
    <t xml:space="preserve">⚠️ DRAFT — Skywalker or YODA for this task?</t>
  </si>
  <si>
    <t xml:space="preserve">Skywalker</t>
  </si>
  <si>
    <t xml:space="preserve">D4.03</t>
  </si>
  <si>
    <t xml:space="preserve">Bill Methods &amp; Bill Setup — High-Level Introduction</t>
  </si>
  <si>
    <t xml:space="preserve">⚠️ DRAFT — I understand the major bill methods at a high level and know where bill setup lives in the system.</t>
  </si>
  <si>
    <t xml:space="preserve">⚠️ DRAFT — Which method applies to this property?</t>
  </si>
  <si>
    <t xml:space="preserve">YODA, Skywalker</t>
  </si>
  <si>
    <t xml:space="preserve">Depth comes Day 6-7</t>
  </si>
  <si>
    <t xml:space="preserve">D4.04</t>
  </si>
  <si>
    <t xml:space="preserve">Regulations</t>
  </si>
  <si>
    <t xml:space="preserve">⚠️ DRAFT — I know the categories of state regulations that affect billing and where to look them up.</t>
  </si>
  <si>
    <t xml:space="preserve">⚠️ DRAFT — Is this state regulated? Where do I check?</t>
  </si>
  <si>
    <t xml:space="preserve">Knowledge Base</t>
  </si>
  <si>
    <t xml:space="preserve">D4.05</t>
  </si>
  <si>
    <t xml:space="preserve">Bill Dates Tab (2 Part)</t>
  </si>
  <si>
    <t xml:space="preserve">Dev YODA Practice</t>
  </si>
  <si>
    <t xml:space="preserve">I can correctly set bill dates in YODA — rent dates, Conservice utility dates, post month, and total date range — and I know when to flag a date that doesn't look right.</t>
  </si>
  <si>
    <t xml:space="preserve">Does the post month match the cycle? Are rent and Conservice dates aligned? Do I need to escalate this date setup?</t>
  </si>
  <si>
    <t xml:space="preserve">YODA, Dev YODA</t>
  </si>
  <si>
    <t xml:space="preserve">Krista pending on Dev YODA property access</t>
  </si>
  <si>
    <t xml:space="preserve">D4.06</t>
  </si>
  <si>
    <t xml:space="preserve">Future Cycle Calculator (FCC)</t>
  </si>
  <si>
    <t xml:space="preserve">⚠️ DRAFT — I know what FCC is, what it does, and that I'll learn the mechanics in Day 8 Exceptions.</t>
  </si>
  <si>
    <t xml:space="preserve">⚠️ DRAFT — Awareness only — when would I use FCC?</t>
  </si>
  <si>
    <t xml:space="preserve">YODA</t>
  </si>
  <si>
    <t xml:space="preserve">Mechanics deferred to Day 8</t>
  </si>
  <si>
    <t xml:space="preserve">D4.07</t>
  </si>
  <si>
    <t xml:space="preserve">MIMO: What It Is and Where It Falls in the Workflow</t>
  </si>
  <si>
    <t xml:space="preserve">⚠️ DRAFT — I understand what MIMO (Move-In/Move-Out) is and where it fits in the billing workflow.</t>
  </si>
  <si>
    <t xml:space="preserve">⚠️ DRAFT — Is this a MIMO scenario? What does the cycle look like?</t>
  </si>
  <si>
    <t xml:space="preserve">Deeper dive Day 5/7</t>
  </si>
  <si>
    <t xml:space="preserve">D4.08</t>
  </si>
  <si>
    <t xml:space="preserve">Scenario — Troubleshoot a Bill Dates Task</t>
  </si>
  <si>
    <t xml:space="preserve">Scenario</t>
  </si>
  <si>
    <t xml:space="preserve">Scenario Card</t>
  </si>
  <si>
    <t xml:space="preserve">⚠️ DRAFT — I can work through a bill dates scenario and identify what's wrong before fixing it.</t>
  </si>
  <si>
    <t xml:space="preserve">⚠️ DRAFT — What's wrong here? What's my next move?</t>
  </si>
  <si>
    <t xml:space="preserve">D4.09</t>
  </si>
  <si>
    <t xml:space="preserve">Simulation — SW Bill Dates Task Error / Manual Bill Dates Exception</t>
  </si>
  <si>
    <t xml:space="preserve">⚠️ DRAFT — I can resolve a Skywalker bill dates task error and a manual bill dates exception in YODA.</t>
  </si>
  <si>
    <t xml:space="preserve">⚠️ DRAFT — What's the exception telling me? What's the fix?</t>
  </si>
  <si>
    <t xml:space="preserve">Skywalker, YODA</t>
  </si>
  <si>
    <t xml:space="preserve">D4.10</t>
  </si>
  <si>
    <t xml:space="preserve">Client Communication — Grading Rubric, BOB Tenets, Mock Emails</t>
  </si>
  <si>
    <t xml:space="preserve">Rubric</t>
  </si>
  <si>
    <t xml:space="preserve">Mock Email Set</t>
  </si>
  <si>
    <t xml:space="preserve">⚠️ DRAFT — I can write a professional client email and self-assess it against the grading rubric tied to BOB tenets.</t>
  </si>
  <si>
    <t xml:space="preserve">⚠️ DRAFT — Does my email meet the rubric? Which tenet does it reflect?</t>
  </si>
  <si>
    <t xml:space="preserve">Email</t>
  </si>
  <si>
    <t xml:space="preserve">Rubric introduced here, used Day 5-10</t>
  </si>
  <si>
    <t xml:space="preserve">D4.11</t>
  </si>
  <si>
    <t xml:space="preserve">EOD 4 Review</t>
  </si>
  <si>
    <t xml:space="preserve">⚠️ DRAFT — I can summarize bill dates, FCC awareness, and Skywalker basics from today.</t>
  </si>
  <si>
    <t xml:space="preserve">⚠️ DRAFT — What do I revisit tonight?</t>
  </si>
  <si>
    <t xml:space="preserve">1.5 practice / 1 hr admin time in afternoon</t>
  </si>
  <si>
    <t xml:space="preserve">D5.01</t>
  </si>
  <si>
    <t xml:space="preserve">Day 5 Morning Review</t>
  </si>
  <si>
    <t xml:space="preserve">⚠️ DRAFT — I can recall Day 4 concepts and ask follow-up questions.</t>
  </si>
  <si>
    <t xml:space="preserve">⚠️ DRAFT — What needs clarification?</t>
  </si>
  <si>
    <t xml:space="preserve">D5.02</t>
  </si>
  <si>
    <t xml:space="preserve">Billing Process Overview</t>
  </si>
  <si>
    <t xml:space="preserve">⚠️ DRAFT — I can walk through the end-to-end billing process and place each Day 5 topic within it.</t>
  </si>
  <si>
    <t xml:space="preserve">⚠️ DRAFT — Where in the process am I right now?</t>
  </si>
  <si>
    <t xml:space="preserve">Anchors UA and Stats discussions</t>
  </si>
  <si>
    <t xml:space="preserve">D5.03</t>
  </si>
  <si>
    <t xml:space="preserve">MIMO &amp; Stats Tabs — Introduction</t>
  </si>
  <si>
    <t xml:space="preserve">⚠️ DRAFT — I can navigate the MIMO and Stats tabs in YODA and explain what each one drives.</t>
  </si>
  <si>
    <t xml:space="preserve">⚠️ DRAFT — Are the stats correct? Did MIMO process cleanly?</t>
  </si>
  <si>
    <t xml:space="preserve">D5.04</t>
  </si>
  <si>
    <t xml:space="preserve">Utility Amounts Tab</t>
  </si>
  <si>
    <t xml:space="preserve">⚠️ DRAFT — I can verify and enter admin/flat amounts, RUBS provider amounts, and check frequency in the UA tab.</t>
  </si>
  <si>
    <t xml:space="preserve">⚠️ DRAFT — Does this UA entry match the bill? Is the frequency right?</t>
  </si>
  <si>
    <t xml:space="preserve">YODA, Fusion 2.0</t>
  </si>
  <si>
    <t xml:space="preserve">D5.05</t>
  </si>
  <si>
    <t xml:space="preserve">Inputting Provider Amounts</t>
  </si>
  <si>
    <t xml:space="preserve">⚠️ DRAFT — I can input provider amounts from a bill into UA correctly the first time.</t>
  </si>
  <si>
    <t xml:space="preserve">⚠️ DRAFT — Right amount? Right line? Right frequency?</t>
  </si>
  <si>
    <t xml:space="preserve">YODA, Fusion 2.0, Foxit</t>
  </si>
  <si>
    <t xml:space="preserve">D5.06</t>
  </si>
  <si>
    <t xml:space="preserve">Comparing UA Admin Amounts to Bill Setup / Fee Screen</t>
  </si>
  <si>
    <t xml:space="preserve">⚠️ DRAFT — I can compare UA admin amounts to Bill Setup and the Fee Screen and spot mismatches.</t>
  </si>
  <si>
    <t xml:space="preserve">⚠️ DRAFT — Do these three agree? If not, which is right?</t>
  </si>
  <si>
    <t xml:space="preserve">D5.07</t>
  </si>
  <si>
    <t xml:space="preserve">What Good Documentation Looks Like</t>
  </si>
  <si>
    <t xml:space="preserve">Example Notes</t>
  </si>
  <si>
    <t xml:space="preserve">⚠️ DRAFT — I know what a good Fusion/YODA note looks like, why it matters downstream, and the standards I'm expected to meet.</t>
  </si>
  <si>
    <t xml:space="preserve">⚠️ DRAFT — Will the next person reading this note know what I did and why?</t>
  </si>
  <si>
    <t xml:space="preserve">Sets foundation for exception notes Day 8</t>
  </si>
  <si>
    <t xml:space="preserve">D5.08</t>
  </si>
  <si>
    <t xml:space="preserve">Scenario — Base Fee / Service Fee Change or Unusual Cycle Length</t>
  </si>
  <si>
    <t xml:space="preserve">⚠️ DRAFT — I can work through a scenario involving a fee change or odd cycle and identify what to flag.</t>
  </si>
  <si>
    <t xml:space="preserve">⚠️ DRAFT — What changed? Why? Who needs to know?</t>
  </si>
  <si>
    <t xml:space="preserve">D5.09</t>
  </si>
  <si>
    <t xml:space="preserve">Simulation — SW UA Task Error / Manual UA Exception</t>
  </si>
  <si>
    <t xml:space="preserve">⚠️ DRAFT — I can resolve a Skywalker UA task and a manual UA exception in YODA.</t>
  </si>
  <si>
    <t xml:space="preserve">⚠️ DRAFT — What does the exception say? What's the fix?</t>
  </si>
  <si>
    <t xml:space="preserve">D5.10</t>
  </si>
  <si>
    <t xml:space="preserve">Client Communication — Mock Emails, BOB Tenets</t>
  </si>
  <si>
    <t xml:space="preserve">⚠️ DRAFT — I can write a Day 5-level client email and self-grade against the rubric.</t>
  </si>
  <si>
    <t xml:space="preserve">⚠️ DRAFT — Does this email pass the rubric?</t>
  </si>
  <si>
    <t xml:space="preserve">D5.11</t>
  </si>
  <si>
    <t xml:space="preserve">EOD 5 Review</t>
  </si>
  <si>
    <t xml:space="preserve">⚠️ DRAFT — I can summarize UA, MIMO/Stats, and documentation standards.</t>
  </si>
  <si>
    <t xml:space="preserve">⚠️ DRAFT — What needs another pass tomorrow?</t>
  </si>
  <si>
    <t xml:space="preserve">D6.01</t>
  </si>
  <si>
    <t xml:space="preserve">Day 6 Morning Review</t>
  </si>
  <si>
    <t xml:space="preserve">⚠️ DRAFT — I can recall Day 5 concepts.</t>
  </si>
  <si>
    <t xml:space="preserve">⚠️ DRAFT — Open questions?</t>
  </si>
  <si>
    <t xml:space="preserve">D6.02</t>
  </si>
  <si>
    <t xml:space="preserve">Meter Concepts: How Submetering Works &amp; Why It Matters</t>
  </si>
  <si>
    <t xml:space="preserve">⚠️ DRAFT — I understand what submetering is, how it differs from RUBS, and why properties choose it.</t>
  </si>
  <si>
    <t xml:space="preserve">⚠️ DRAFT — Is this a submetered property? What does that mean for billing?</t>
  </si>
  <si>
    <t xml:space="preserve">D6.03</t>
  </si>
  <si>
    <t xml:space="preserve">Submetered Billing Methods &amp; Math</t>
  </si>
  <si>
    <t xml:space="preserve">Math Worksheet</t>
  </si>
  <si>
    <t xml:space="preserve">⚠️ DRAFT — I can perform the math behind submetered billing — rates, usage, expense allocation.</t>
  </si>
  <si>
    <t xml:space="preserve">⚠️ DRAFT — Did the math come out right? Does this rate match the contract?</t>
  </si>
  <si>
    <t xml:space="preserve">YODA, Skywalker, Calculator</t>
  </si>
  <si>
    <t xml:space="preserve">D6.04</t>
  </si>
  <si>
    <t xml:space="preserve">Connecting Meters to the Workflow</t>
  </si>
  <si>
    <t xml:space="preserve">⚠️ DRAFT — I can place meter steps within the broader prep/calc workflow.</t>
  </si>
  <si>
    <t xml:space="preserve">⚠️ DRAFT — Where do meters fit in this property's cycle?</t>
  </si>
  <si>
    <t xml:space="preserve">D6.05</t>
  </si>
  <si>
    <t xml:space="preserve">What Do You Need to Do — Step-by-Step Meter Review</t>
  </si>
  <si>
    <t xml:space="preserve">Step-by-Step Doc</t>
  </si>
  <si>
    <t xml:space="preserve">⚠️ DRAFT — I can walk through a meter review checklist start to finish.</t>
  </si>
  <si>
    <t xml:space="preserve">⚠️ DRAFT — Did I check every step? Anything missing?</t>
  </si>
  <si>
    <t xml:space="preserve">YODA, Skywalker, ABP</t>
  </si>
  <si>
    <t xml:space="preserve">D6.06</t>
  </si>
  <si>
    <t xml:space="preserve">Verifying System Estimations &amp; Initial Meter Reads</t>
  </si>
  <si>
    <t xml:space="preserve">⚠️ DRAFT — I can verify system-generated estimations and check initial meter reads before importing.</t>
  </si>
  <si>
    <t xml:space="preserve">⚠️ DRAFT — Does the estimation make sense? Are the reads in range?</t>
  </si>
  <si>
    <t xml:space="preserve">YODA, ABP, Construct</t>
  </si>
  <si>
    <t xml:space="preserve">D6.07</t>
  </si>
  <si>
    <t xml:space="preserve">Reading &amp; Interpreting the Prop Cons / V3 Report</t>
  </si>
  <si>
    <t xml:space="preserve">Sample Report</t>
  </si>
  <si>
    <t xml:space="preserve">⚠️ DRAFT — I can read the Property Consumption / V3 report and pull out what matters for troubleshooting.</t>
  </si>
  <si>
    <t xml:space="preserve">⚠️ DRAFT — What anomalies do I see? What's normal here?</t>
  </si>
  <si>
    <t xml:space="preserve">D6.08</t>
  </si>
  <si>
    <t xml:space="preserve">Importing with ABP</t>
  </si>
  <si>
    <t xml:space="preserve">⚠️ DRAFT — I can import initial reads and meter reads using ABP.</t>
  </si>
  <si>
    <t xml:space="preserve">⚠️ DRAFT — Right import file? Right property? Right post month?</t>
  </si>
  <si>
    <t xml:space="preserve">ABP, YODA</t>
  </si>
  <si>
    <t xml:space="preserve">D6.09</t>
  </si>
  <si>
    <t xml:space="preserve">Meter Estimation Practice: High-Repetition Scenarios</t>
  </si>
  <si>
    <t xml:space="preserve">Scenario Bank</t>
  </si>
  <si>
    <t xml:space="preserve">⚠️ DRAFT — I can estimate meters across multiple scenarios with consistent accuracy.</t>
  </si>
  <si>
    <t xml:space="preserve">⚠️ DRAFT — Which estimation method fits this scenario?</t>
  </si>
  <si>
    <t xml:space="preserve">Repetition for fluency</t>
  </si>
  <si>
    <t xml:space="preserve">D6.10</t>
  </si>
  <si>
    <t xml:space="preserve">Scenario — System / Mechanical Setup for Troubleshooting</t>
  </si>
  <si>
    <t xml:space="preserve">⚠️ DRAFT — I can diagnose meter issues stemming from system or mechanical setup.</t>
  </si>
  <si>
    <t xml:space="preserve">⚠️ DRAFT — Setup issue or read issue?</t>
  </si>
  <si>
    <t xml:space="preserve">D6.11</t>
  </si>
  <si>
    <t xml:space="preserve">Simulation — SW Meter Task Error / Manual Meter Exception</t>
  </si>
  <si>
    <t xml:space="preserve">⚠️ DRAFT — I can resolve a Skywalker meter task and a manual meter exception.</t>
  </si>
  <si>
    <t xml:space="preserve">⚠️ DRAFT — What's the exception? What's the fix?</t>
  </si>
  <si>
    <t xml:space="preserve">D6.12</t>
  </si>
  <si>
    <t xml:space="preserve">⚠️ DRAFT — I can write a meter-related client email and self-grade.</t>
  </si>
  <si>
    <t xml:space="preserve">⚠️ DRAFT — Does this explain the meter issue clearly?</t>
  </si>
  <si>
    <t xml:space="preserve">D6.13</t>
  </si>
  <si>
    <t xml:space="preserve">EOD 6 Review</t>
  </si>
  <si>
    <t xml:space="preserve">⚠️ DRAFT — I can summarize meters: concepts, math, workflow.</t>
  </si>
  <si>
    <t xml:space="preserve">⚠️ DRAFT — What's still fuzzy?</t>
  </si>
  <si>
    <t xml:space="preserve">D7.01</t>
  </si>
  <si>
    <t xml:space="preserve">Day 7 Morning Review</t>
  </si>
  <si>
    <t xml:space="preserve">⚠️ DRAFT — I can recall meter concepts from Day 6.</t>
  </si>
  <si>
    <t xml:space="preserve">D7.02</t>
  </si>
  <si>
    <t xml:space="preserve">MIMO &amp; Stats — Deeper Discussion</t>
  </si>
  <si>
    <t xml:space="preserve">⚠️ DRAFT — I can interpret nuanced MIMO and stats situations beyond the basics.</t>
  </si>
  <si>
    <t xml:space="preserve">⚠️ DRAFT — Edge case or standard? What's the right call?</t>
  </si>
  <si>
    <t xml:space="preserve">D7.03</t>
  </si>
  <si>
    <t xml:space="preserve">Depths of Billing Methods &amp; Math</t>
  </si>
  <si>
    <t xml:space="preserve">⚠️ DRAFT — I can apply billing methods at depth — RUBS variations, submetered nuances, factored occupancy, etc.</t>
  </si>
  <si>
    <t xml:space="preserve">⚠️ DRAFT — Which method gives the right resident charge here?</t>
  </si>
  <si>
    <t xml:space="preserve">D7.04</t>
  </si>
  <si>
    <t xml:space="preserve">Rent-Only Bills</t>
  </si>
  <si>
    <t xml:space="preserve">⚠️ DRAFT — I can handle a rent-only billing scenario.</t>
  </si>
  <si>
    <t xml:space="preserve">⚠️ DRAFT — Is rent the only charge here? Any utilities to add?</t>
  </si>
  <si>
    <t xml:space="preserve">D7.05</t>
  </si>
  <si>
    <t xml:space="preserve">Ramping</t>
  </si>
  <si>
    <t xml:space="preserve">⚠️ DRAFT — I understand what ramping is, when it applies, and how to set it up.</t>
  </si>
  <si>
    <t xml:space="preserve">⚠️ DRAFT — Is this property ramping? At what rate?</t>
  </si>
  <si>
    <t xml:space="preserve">D7.06</t>
  </si>
  <si>
    <t xml:space="preserve">Billing Methods Application: Calculation Practice Activity</t>
  </si>
  <si>
    <t xml:space="preserve">Practice Set</t>
  </si>
  <si>
    <t xml:space="preserve">⚠️ DRAFT — I can calculate resident charges across multiple billing methods accurately.</t>
  </si>
  <si>
    <t xml:space="preserve">⚠️ DRAFT — Did my math match the expected output?</t>
  </si>
  <si>
    <t xml:space="preserve">Calculator, YODA</t>
  </si>
  <si>
    <t xml:space="preserve">D7.07</t>
  </si>
  <si>
    <t xml:space="preserve">Scenario — Legal Dashboard Task</t>
  </si>
  <si>
    <t xml:space="preserve">⚠️ DRAFT — I can work through a legal dashboard task and identify what needs escalation.</t>
  </si>
  <si>
    <t xml:space="preserve">⚠️ DRAFT — Legal flag — escalate or proceed?</t>
  </si>
  <si>
    <t xml:space="preserve">YODA, Legal Dashboard</t>
  </si>
  <si>
    <t xml:space="preserve">D7.08</t>
  </si>
  <si>
    <t xml:space="preserve">Simulation — SW VA Meters with FCC / Manual TX Meters</t>
  </si>
  <si>
    <t xml:space="preserve">⚠️ DRAFT — I can complete a Virginia meters task with FCC and a Texas manual meters task.</t>
  </si>
  <si>
    <t xml:space="preserve">⚠️ DRAFT — State-specific regulation triggers — what changes?</t>
  </si>
  <si>
    <t xml:space="preserve">Skywalker, YODA, ABP</t>
  </si>
  <si>
    <t xml:space="preserve">D7.09</t>
  </si>
  <si>
    <t xml:space="preserve">Client Communication — Meter Troubleshooting Mock Email</t>
  </si>
  <si>
    <t xml:space="preserve">⚠️ DRAFT — I can write a meter troubleshooting email to a client and self-grade.</t>
  </si>
  <si>
    <t xml:space="preserve">⚠️ DRAFT — Did I explain the issue clearly without jargon?</t>
  </si>
  <si>
    <t xml:space="preserve">D7.10</t>
  </si>
  <si>
    <t xml:space="preserve">EOD 7 Review</t>
  </si>
  <si>
    <t xml:space="preserve">⚠️ DRAFT — I can summarize billing methods, ramping, and rent-only.</t>
  </si>
  <si>
    <t xml:space="preserve">⚠️ DRAFT — Open questions before the harder Day 8 content?</t>
  </si>
  <si>
    <t xml:space="preserve">D8.01</t>
  </si>
  <si>
    <t xml:space="preserve">Day 8 Morning Review</t>
  </si>
  <si>
    <t xml:space="preserve">⚠️ DRAFT — I can recall Day 7 methods.</t>
  </si>
  <si>
    <t xml:space="preserve">D8.02</t>
  </si>
  <si>
    <t xml:space="preserve">Utility Messages</t>
  </si>
  <si>
    <t xml:space="preserve">⚠️ DRAFT — I can verify and update utility messages on resident bills.</t>
  </si>
  <si>
    <t xml:space="preserve">⚠️ DRAFT — Is this message current? Correct for this property?</t>
  </si>
  <si>
    <t xml:space="preserve">D8.03</t>
  </si>
  <si>
    <t xml:space="preserve">Exceptions &amp; Tasks</t>
  </si>
  <si>
    <t xml:space="preserve">Reference List</t>
  </si>
  <si>
    <t xml:space="preserve">⚠️ DRAFT — I can read, interpret, and resolve YODA exceptions and Skywalker tasks.</t>
  </si>
  <si>
    <t xml:space="preserve">⚠️ DRAFT — What is this exception telling me? Resolve, escalate, or hand back?</t>
  </si>
  <si>
    <t xml:space="preserve">FCC mechanics live here</t>
  </si>
  <si>
    <t xml:space="preserve">D8.04</t>
  </si>
  <si>
    <t xml:space="preserve">Exception Note Standards: Good Note / Bad Note Deep Dive</t>
  </si>
  <si>
    <t xml:space="preserve">⚠️ DRAFT — I can write an exception note that meets standards and explain why bad notes cause downstream pain.</t>
  </si>
  <si>
    <t xml:space="preserve">⚠️ DRAFT — Will this note hold up at QC?</t>
  </si>
  <si>
    <t xml:space="preserve">Builds on Day 5 documentation</t>
  </si>
  <si>
    <t xml:space="preserve">D8.05</t>
  </si>
  <si>
    <t xml:space="preserve">Reports</t>
  </si>
  <si>
    <t xml:space="preserve">Sample Reports</t>
  </si>
  <si>
    <t xml:space="preserve">⚠️ DRAFT — I can pull and interpret the core reports I'll use daily (Property Consumption, Recovery QC, Vacant QC, Billing Summary).</t>
  </si>
  <si>
    <t xml:space="preserve">⚠️ DRAFT — Which report answers this question?</t>
  </si>
  <si>
    <t xml:space="preserve">D8.06</t>
  </si>
  <si>
    <t xml:space="preserve">Critical Thinking</t>
  </si>
  <si>
    <t xml:space="preserve">Discussion Prompts</t>
  </si>
  <si>
    <t xml:space="preserve">⚠️ DRAFT — I can apply critical thinking to ambiguous billing scenarios instead of pattern-matching.</t>
  </si>
  <si>
    <t xml:space="preserve">⚠️ DRAFT — Am I assuming or verifying?</t>
  </si>
  <si>
    <t xml:space="preserve">Conceptual, soft skill</t>
  </si>
  <si>
    <t xml:space="preserve">D8.07</t>
  </si>
  <si>
    <t xml:space="preserve">Prebill</t>
  </si>
  <si>
    <t xml:space="preserve">⚠️ DRAFT — I can generate a prebill, review it, and send it to the property for approval.</t>
  </si>
  <si>
    <t xml:space="preserve">⚠️ DRAFT — Prebill required for this prop? Does it look right?</t>
  </si>
  <si>
    <t xml:space="preserve">Skywalker, YODA, Email</t>
  </si>
  <si>
    <t xml:space="preserve">D8.08</t>
  </si>
  <si>
    <t xml:space="preserve">Formative Check: Pre-Skills Eval Self-Assessment</t>
  </si>
  <si>
    <t xml:space="preserve">Assessment</t>
  </si>
  <si>
    <t xml:space="preserve">Self-Assessment Doc</t>
  </si>
  <si>
    <t xml:space="preserve">⚠️ DRAFT — I know where I stand against the Day 9 Skills Eval criteria and what I need to study tonight.</t>
  </si>
  <si>
    <t xml:space="preserve">⚠️ DRAFT — What are my weak areas?</t>
  </si>
  <si>
    <t xml:space="preserve">Self-assessment</t>
  </si>
  <si>
    <t xml:space="preserve">Pre-eval calibration</t>
  </si>
  <si>
    <t xml:space="preserve">D8.09</t>
  </si>
  <si>
    <t xml:space="preserve">Scenario — Recovery Issue or U Exception</t>
  </si>
  <si>
    <t xml:space="preserve">⚠️ DRAFT — I can diagnose a recovery issue or U exception.</t>
  </si>
  <si>
    <t xml:space="preserve">⚠️ DRAFT — What's the root cause?</t>
  </si>
  <si>
    <t xml:space="preserve">D8.10</t>
  </si>
  <si>
    <t xml:space="preserve">Simulation — SW Recovery Task / Manual U Exception</t>
  </si>
  <si>
    <t xml:space="preserve">⚠️ DRAFT — I can resolve a Skywalker recovery task and a manual U exception.</t>
  </si>
  <si>
    <t xml:space="preserve">⚠️ DRAFT — What's the exception saying?</t>
  </si>
  <si>
    <t xml:space="preserve">D8.11</t>
  </si>
  <si>
    <t xml:space="preserve">Client Communication — Prebill Client Response Mock Email</t>
  </si>
  <si>
    <t xml:space="preserve">⚠️ DRAFT — I can respond to a client's prebill questions in writing.</t>
  </si>
  <si>
    <t xml:space="preserve">⚠️ DRAFT — Does my response answer the question and protect the relationship?</t>
  </si>
  <si>
    <t xml:space="preserve">D8.12</t>
  </si>
  <si>
    <t xml:space="preserve">EOD 8 Review</t>
  </si>
  <si>
    <t xml:space="preserve">⚠️ DRAFT — I can summarize exceptions, prebill, and reports.</t>
  </si>
  <si>
    <t xml:space="preserve">⚠️ DRAFT — What do I need to drill tonight before the eval?</t>
  </si>
  <si>
    <t xml:space="preserve">D9.01</t>
  </si>
  <si>
    <t xml:space="preserve">Day 9 Morning Review — Structured Eval Prep Review</t>
  </si>
  <si>
    <t xml:space="preserve">Review Doc</t>
  </si>
  <si>
    <t xml:space="preserve">⚠️ DRAFT — I'm calibrated on the eval format, scope, and expectations.</t>
  </si>
  <si>
    <t xml:space="preserve">⚠️ DRAFT — Where do I focus my last review minutes?</t>
  </si>
  <si>
    <t xml:space="preserve">Targeted pre-eval review</t>
  </si>
  <si>
    <t xml:space="preserve">D9.02</t>
  </si>
  <si>
    <t xml:space="preserve">Billing Methodologies Math Practice</t>
  </si>
  <si>
    <t xml:space="preserve">⚠️ DRAFT — I can run billing math accurately under time pressure.</t>
  </si>
  <si>
    <t xml:space="preserve">⚠️ DRAFT — Right method, right inputs, right output.</t>
  </si>
  <si>
    <t xml:space="preserve">D9.03</t>
  </si>
  <si>
    <t xml:space="preserve">PMR Reads Activity</t>
  </si>
  <si>
    <t xml:space="preserve">⚠️ DRAFT — I can complete a Property Meter Read activity correctly.</t>
  </si>
  <si>
    <t xml:space="preserve">⚠️ DRAFT — Reads in range? Estimations valid?</t>
  </si>
  <si>
    <t xml:space="preserve">D9.04</t>
  </si>
  <si>
    <t xml:space="preserve">Prebill Activity</t>
  </si>
  <si>
    <t xml:space="preserve">⚠️ DRAFT — I can generate and review a prebill in a practice scenario.</t>
  </si>
  <si>
    <t xml:space="preserve">⚠️ DRAFT — Ready to send?</t>
  </si>
  <si>
    <t xml:space="preserve">D9.05</t>
  </si>
  <si>
    <t xml:space="preserve">Bill Dates &amp; FCC Activity</t>
  </si>
  <si>
    <t xml:space="preserve">⚠️ DRAFT — I can set bill dates including FCC scenarios.</t>
  </si>
  <si>
    <t xml:space="preserve">⚠️ DRAFT — FCC needed here?</t>
  </si>
  <si>
    <t xml:space="preserve">D9.06</t>
  </si>
  <si>
    <t xml:space="preserve">Portfolio Prioritization Activity</t>
  </si>
  <si>
    <t xml:space="preserve">Scenario Set</t>
  </si>
  <si>
    <t xml:space="preserve">⚠️ DRAFT — I can prioritize a sample portfolio by goal date, complexity, and risk.</t>
  </si>
  <si>
    <t xml:space="preserve">⚠️ DRAFT — What do I touch first today?</t>
  </si>
  <si>
    <t xml:space="preserve">YODA, Skywalker, Calendar</t>
  </si>
  <si>
    <t xml:space="preserve">D9.07</t>
  </si>
  <si>
    <t xml:space="preserve">Skills Evaluation</t>
  </si>
  <si>
    <t xml:space="preserve">Eval Materials</t>
  </si>
  <si>
    <t xml:space="preserve">⚠️ DRAFT — I demonstrate at or above 80% on the Skills Evaluation, confirming I'm ready to move into nesting.</t>
  </si>
  <si>
    <t xml:space="preserve">⚠️ DRAFT — Demonstrate competence under eval conditions.</t>
  </si>
  <si>
    <t xml:space="preserve">YODA, Skywalker, Fusion 2.0</t>
  </si>
  <si>
    <t xml:space="preserve">Pass threshold = 80%</t>
  </si>
  <si>
    <t xml:space="preserve">D9.08</t>
  </si>
  <si>
    <t xml:space="preserve">Remediation Path for Learners Below 80%</t>
  </si>
  <si>
    <t xml:space="preserve">Remediation Plan</t>
  </si>
  <si>
    <t xml:space="preserve">⚠️ DRAFT — If I scored below 80%, I know my remediation plan and timeline. If I scored at/above, I support peers.</t>
  </si>
  <si>
    <t xml:space="preserve">⚠️ DRAFT — What's my next step?</t>
  </si>
  <si>
    <t xml:space="preserve">Eval rubric</t>
  </si>
  <si>
    <t xml:space="preserve">Branch-conditional</t>
  </si>
  <si>
    <t xml:space="preserve">D9.09</t>
  </si>
  <si>
    <t xml:space="preserve">What Happens After I Submit a Property for QC?</t>
  </si>
  <si>
    <t xml:space="preserve">Flow Diagram</t>
  </si>
  <si>
    <t xml:space="preserve">⚠️ DRAFT — I know the QC bin lifecycle, what handbacks look like, and how to respond when one comes back.</t>
  </si>
  <si>
    <t xml:space="preserve">⚠️ DRAFT — Handback or pass-through?</t>
  </si>
  <si>
    <t xml:space="preserve">D9.10</t>
  </si>
  <si>
    <t xml:space="preserve">Client Communication — Mock Emails</t>
  </si>
  <si>
    <t xml:space="preserve">⚠️ DRAFT — I can handle eval-level client communication.</t>
  </si>
  <si>
    <t xml:space="preserve">⚠️ DRAFT — Does this meet the rubric under eval conditions?</t>
  </si>
  <si>
    <t xml:space="preserve">D9.11</t>
  </si>
  <si>
    <t xml:space="preserve">EOD 9 Review</t>
  </si>
  <si>
    <t xml:space="preserve">⚠️ DRAFT — I know how I did on the eval and what comes next.</t>
  </si>
  <si>
    <t xml:space="preserve">⚠️ DRAFT — Ready for Day 10?</t>
  </si>
  <si>
    <t xml:space="preserve">D10.01</t>
  </si>
  <si>
    <t xml:space="preserve">Day 10 Morning Review</t>
  </si>
  <si>
    <t xml:space="preserve">⚠️ DRAFT — I can recall the eval outcomes and any remediation steps.</t>
  </si>
  <si>
    <t xml:space="preserve">D10.02</t>
  </si>
  <si>
    <t xml:space="preserve">Customer Service Fundamentals</t>
  </si>
  <si>
    <t xml:space="preserve">Participant Workbook</t>
  </si>
  <si>
    <t xml:space="preserve">I understand the CSR department's role, how my billing work upstream affects CSR downstream, how to use CSR Alerts and Billing Reminders correctly, and the urgency standards for EWOK tickets.</t>
  </si>
  <si>
    <t xml:space="preserve">Does this need a CSR Alert? What's the right urgency threshold (24/48/5-day)? Reminder, Alert, or direct CSR contact?</t>
  </si>
  <si>
    <t xml:space="preserve">EWOK, YODA, Skywalker, Email, Knowledge Base</t>
  </si>
  <si>
    <t xml:space="preserve">Built, multiple review rounds complete</t>
  </si>
  <si>
    <t xml:space="preserve">D10.03</t>
  </si>
  <si>
    <t xml:space="preserve">Exporting</t>
  </si>
  <si>
    <t xml:space="preserve">⚠️ DRAFT — I can complete the export step that pushes charges to property systems via EDE.</t>
  </si>
  <si>
    <t xml:space="preserve">⚠️ DRAFT — Right export settings? Right post month?</t>
  </si>
  <si>
    <t xml:space="preserve">YODA, Skywalker, Obiwan</t>
  </si>
  <si>
    <t xml:space="preserve">Step 06 of lifecycle</t>
  </si>
  <si>
    <t xml:space="preserve">D10.04</t>
  </si>
  <si>
    <t xml:space="preserve">Portfolio Management</t>
  </si>
  <si>
    <t xml:space="preserve">⚠️ DRAFT — I can manage my portfolio: track goal dates, prioritize, communicate proactively with clients.</t>
  </si>
  <si>
    <t xml:space="preserve">⚠️ DRAFT — What needs my attention first?</t>
  </si>
  <si>
    <t xml:space="preserve">YODA, Skywalker, Calendar, Email</t>
  </si>
  <si>
    <t xml:space="preserve">D10.05</t>
  </si>
  <si>
    <t xml:space="preserve">A Day in the Life of a Billing Manager</t>
  </si>
  <si>
    <t xml:space="preserve">⚠️ DRAFT — I have a realistic picture of a billing manager's day and the rhythm I'm stepping into.</t>
  </si>
  <si>
    <t xml:space="preserve">⚠️ DRAFT — How will I structure my own day?</t>
  </si>
  <si>
    <t xml:space="preserve">Sets up nesting expectations</t>
  </si>
  <si>
    <t xml:space="preserve">D10.06</t>
  </si>
  <si>
    <t xml:space="preserve">Stress Management &amp; Daily Prioritization</t>
  </si>
  <si>
    <t xml:space="preserve">⚠️ DRAFT — I have strategies for managing competing priorities and stress during high-volume periods.</t>
  </si>
  <si>
    <t xml:space="preserve">⚠️ DRAFT — When I feel overwhelmed, what's my first move?</t>
  </si>
  <si>
    <t xml:space="preserve">N/A</t>
  </si>
  <si>
    <t xml:space="preserve">Soft skill, wellness</t>
  </si>
  <si>
    <t xml:space="preserve">D10.07</t>
  </si>
  <si>
    <t xml:space="preserve">Program Wrap-Up &amp; Nesting Preview</t>
  </si>
  <si>
    <t xml:space="preserve">Nesting Handout</t>
  </si>
  <si>
    <t xml:space="preserve">⚠️ DRAFT — I know what nesting looks like, who my nesting support is, and what's expected of me in week 3+.</t>
  </si>
  <si>
    <t xml:space="preserve">⚠️ DRAFT — What do I bring to my first nesting day?</t>
  </si>
  <si>
    <t xml:space="preserve">Zoom, Handout</t>
  </si>
  <si>
    <t xml:space="preserve">Transition to OTJ</t>
  </si>
  <si>
    <t xml:space="preserve">D10.08</t>
  </si>
  <si>
    <t xml:space="preserve">Client Communication — Final Mock Emails</t>
  </si>
  <si>
    <t xml:space="preserve">⚠️ DRAFT — I can write Day-10-level client emails and self-assess against the rubric one final time.</t>
  </si>
  <si>
    <t xml:space="preserve">⚠️ DRAFT — Does this clear the rubric bar consistently?</t>
  </si>
  <si>
    <t xml:space="preserve">D10.09</t>
  </si>
  <si>
    <t xml:space="preserve">EOD 10</t>
  </si>
  <si>
    <t xml:space="preserve">⚠️ DRAFT — I can close out the program and move forward into nesting with clarity.</t>
  </si>
  <si>
    <t xml:space="preserve">⚠️ DRAFT — What's my Day 11 plan?</t>
  </si>
  <si>
    <t xml:space="preserve">Program close</t>
  </si>
  <si>
    <t xml:space="preserve">Billing EL Program — Day Summary</t>
  </si>
  <si>
    <t xml:space="preserve">Daily content budget: 540 min  |  Lunch + 2 breaks (90 min) auto-subtracted from the 10.5-hr day</t>
  </si>
  <si>
    <t xml:space="preserve">Scheduled Minutes</t>
  </si>
  <si>
    <t xml:space="preserve">Daily Budget</t>
  </si>
  <si>
    <t xml:space="preserve">Remaining</t>
  </si>
  <si>
    <t xml:space="preserve">Fill %</t>
  </si>
  <si>
    <t xml:space="preserve">Modules</t>
  </si>
  <si>
    <t xml:space="preserve">Draft Modules</t>
  </si>
  <si>
    <t xml:space="preserve">TOTAL</t>
  </si>
  <si>
    <t xml:space="preserve">Week View</t>
  </si>
  <si>
    <t xml:space="preserve">Week</t>
  </si>
  <si>
    <t xml:space="preserve">Days</t>
  </si>
  <si>
    <t xml:space="preserve">Total Scheduled Min</t>
  </si>
  <si>
    <t xml:space="preserve">Total Budget</t>
  </si>
  <si>
    <t xml:space="preserve">Total Modules</t>
  </si>
  <si>
    <t xml:space="preserve">Week 1 (Days 3-5)</t>
  </si>
  <si>
    <t xml:space="preserve">3, 4, 5</t>
  </si>
  <si>
    <t xml:space="preserve">Week 2 (Days 6-10)</t>
  </si>
  <si>
    <t xml:space="preserve">6, 7, 8, 9, 10</t>
  </si>
  <si>
    <t xml:space="preserve">Dashboard Legend &amp; Settings</t>
  </si>
  <si>
    <t xml:space="preserve">Status Codes</t>
  </si>
  <si>
    <t xml:space="preserve">Content is finalized or in active stakeholder review.</t>
  </si>
  <si>
    <t xml:space="preserve">⚠️ Auto-filled best-guess. Needs SME review before finalization.</t>
  </si>
  <si>
    <t xml:space="preserve">Content Type Colors</t>
  </si>
  <si>
    <t xml:space="preserve">eLearning</t>
  </si>
  <si>
    <t xml:space="preserve">OTJ</t>
  </si>
  <si>
    <t xml:space="preserve">Time Math</t>
  </si>
  <si>
    <t xml:space="preserve">Daily content budget</t>
  </si>
  <si>
    <t xml:space="preserve">540 min (9 hours)</t>
  </si>
  <si>
    <t xml:space="preserve">Lunch (auto-subtracted from total day)</t>
  </si>
  <si>
    <t xml:space="preserve">60 min</t>
  </si>
  <si>
    <t xml:space="preserve">Breaks (2 × 15 min, auto-subtracted)</t>
  </si>
  <si>
    <t xml:space="preserve">30 min</t>
  </si>
  <si>
    <t xml:space="preserve">Total non-content time per day</t>
  </si>
  <si>
    <t xml:space="preserve">90 min</t>
  </si>
  <si>
    <t xml:space="preserve">Implied total class day</t>
  </si>
  <si>
    <t xml:space="preserve">630 min (10.5 hrs) — adjust to your schedule</t>
  </si>
  <si>
    <t xml:space="preserve">OTJ Handling</t>
  </si>
  <si>
    <t xml:space="preserve">Tag OTJ rows with Content Type = 'OTJ' in Content Inventory.</t>
  </si>
  <si>
    <t xml:space="preserve">OTJ counts toward the day's total minutes AND appears as its own block in day views.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</si>
</sst>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263746"/>
      <name val="Arial"/>
      <family val="0"/>
      <charset val="1"/>
    </font>
    <font>
      <sz val="10"/>
      <color rgb="FF555759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996600"/>
      <name val="Arial"/>
      <family val="0"/>
      <charset val="1"/>
    </font>
    <font>
      <b val="true"/>
      <sz val="16"/>
      <color rgb="FF263746"/>
      <name val="Arial"/>
      <family val="0"/>
      <charset val="1"/>
    </font>
    <font>
      <i val="true"/>
      <sz val="10"/>
      <color rgb="FF555759"/>
      <name val="Arial"/>
      <family val="0"/>
      <charset val="1"/>
    </font>
    <font>
      <b val="true"/>
      <sz val="12"/>
      <color rgb="FF263746"/>
      <name val="Arial"/>
      <family val="0"/>
      <charset val="1"/>
    </font>
    <font>
      <sz val="11"/>
      <color rgb="FF555759"/>
      <name val="Arial"/>
      <family val="0"/>
      <charset val="1"/>
    </font>
    <font>
      <b val="true"/>
      <sz val="11"/>
      <color rgb="FF263746"/>
      <name val="Arial"/>
      <family val="0"/>
      <charset val="1"/>
    </font>
    <font>
      <b val="true"/>
      <sz val="1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63746"/>
        <bgColor rgb="FF003366"/>
      </patternFill>
    </fill>
    <fill>
      <patternFill patternType="solid">
        <fgColor rgb="FFD1D8ED"/>
        <bgColor rgb="FFC5E0F5"/>
      </patternFill>
    </fill>
    <fill>
      <patternFill patternType="solid">
        <fgColor rgb="FFE8F5E8"/>
        <bgColor rgb="FFEDEDED"/>
      </patternFill>
    </fill>
    <fill>
      <patternFill patternType="solid">
        <fgColor rgb="FFE0D1ED"/>
        <bgColor rgb="FFD1D8ED"/>
      </patternFill>
    </fill>
    <fill>
      <patternFill patternType="solid">
        <fgColor rgb="FFFFF4D6"/>
        <bgColor rgb="FFFFF0D1"/>
      </patternFill>
    </fill>
    <fill>
      <patternFill patternType="solid">
        <fgColor rgb="FFFFE8D1"/>
        <bgColor rgb="FFFFF0D1"/>
      </patternFill>
    </fill>
    <fill>
      <patternFill patternType="solid">
        <fgColor rgb="FFFFF0D1"/>
        <bgColor rgb="FFFFF4D6"/>
      </patternFill>
    </fill>
    <fill>
      <patternFill patternType="solid">
        <fgColor rgb="FFE0F0D1"/>
        <bgColor rgb="FFE8F5E8"/>
      </patternFill>
    </fill>
    <fill>
      <patternFill patternType="solid">
        <fgColor rgb="FFEDEDED"/>
        <bgColor rgb="FFE8F5E8"/>
      </patternFill>
    </fill>
    <fill>
      <patternFill patternType="solid">
        <fgColor rgb="FFF5C5C5"/>
        <bgColor rgb="FFE0D1ED"/>
      </patternFill>
    </fill>
    <fill>
      <patternFill patternType="solid">
        <fgColor rgb="FFC5E0F5"/>
        <bgColor rgb="FFD1D8ED"/>
      </patternFill>
    </fill>
    <fill>
      <patternFill patternType="solid">
        <fgColor rgb="FFF0E0FF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2637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55759"/>
          <bgColor rgb="FF000000"/>
        </patternFill>
      </fill>
    </dxf>
    <dxf>
      <fill>
        <patternFill patternType="solid">
          <fgColor rgb="FFD1D8ED"/>
          <bgColor rgb="FF000000"/>
        </patternFill>
      </fill>
    </dxf>
    <dxf>
      <fill>
        <patternFill patternType="solid">
          <fgColor rgb="FFE0D1ED"/>
          <bgColor rgb="FF000000"/>
        </patternFill>
      </fill>
    </dxf>
    <dxf>
      <fill>
        <patternFill patternType="solid">
          <fgColor rgb="FFE0F0D1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5C5C5"/>
          <bgColor rgb="FF000000"/>
        </patternFill>
      </fill>
    </dxf>
    <dxf>
      <fill>
        <patternFill patternType="solid">
          <fgColor rgb="FFFFE8D1"/>
          <bgColor rgb="FF000000"/>
        </patternFill>
      </fill>
    </dxf>
    <dxf>
      <fill>
        <patternFill patternType="solid">
          <fgColor rgb="FFFFF0D1"/>
          <bgColor rgb="FF000000"/>
        </patternFill>
      </fill>
    </dxf>
    <dxf>
      <fill>
        <patternFill patternType="solid">
          <fgColor rgb="FFE8F5E8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996600"/>
          <bgColor rgb="FF000000"/>
        </patternFill>
      </fill>
    </dxf>
    <dxf>
      <fill>
        <patternFill>
          <bgColor rgb="FFFCE8E8"/>
        </patternFill>
      </fill>
    </dxf>
    <dxf>
      <fill>
        <patternFill>
          <bgColor rgb="FFE8F5E8"/>
        </patternFill>
      </fill>
    </dxf>
    <dxf>
      <fill>
        <patternFill>
          <bgColor rgb="FFFFF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8D1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4D6"/>
      <rgbColor rgb="FFE8F5E8"/>
      <rgbColor rgb="FF660066"/>
      <rgbColor rgb="FFFF8080"/>
      <rgbColor rgb="FF0066CC"/>
      <rgbColor rgb="FFD1D8ED"/>
      <rgbColor rgb="FF000080"/>
      <rgbColor rgb="FFFF00FF"/>
      <rgbColor rgb="FFFCE8E8"/>
      <rgbColor rgb="FF00FFFF"/>
      <rgbColor rgb="FF800080"/>
      <rgbColor rgb="FF800000"/>
      <rgbColor rgb="FF008080"/>
      <rgbColor rgb="FF0000FF"/>
      <rgbColor rgb="FF00CCFF"/>
      <rgbColor rgb="FFEDEDED"/>
      <rgbColor rgb="FFE0F0D1"/>
      <rgbColor rgb="FFFFF0D1"/>
      <rgbColor rgb="FFC5E0F5"/>
      <rgbColor rgb="FFF0E0FF"/>
      <rgbColor rgb="FFE0D1ED"/>
      <rgbColor rgb="FFF5C5C5"/>
      <rgbColor rgb="FF3366FF"/>
      <rgbColor rgb="FF33CCCC"/>
      <rgbColor rgb="FF99CC00"/>
      <rgbColor rgb="FFFFCC00"/>
      <rgbColor rgb="FFFF9900"/>
      <rgbColor rgb="FFFF6600"/>
      <rgbColor rgb="FF55575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263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10" min="9" style="0" width="60"/>
    <col collapsed="false" customWidth="true" hidden="false" outlineLevel="0" max="11" min="11" style="0" width="32"/>
    <col collapsed="false" customWidth="true" hidden="false" outlineLevel="0" max="12" min="12" style="0" width="40"/>
    <col collapsed="false" customWidth="true" hidden="false" outlineLevel="0" max="13" min="13" style="0" width="9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69.75" hidden="false" customHeight="true" outlineLevel="0" collapsed="false">
      <c r="A2" s="2" t="n">
        <v>3</v>
      </c>
      <c r="B2" s="2" t="s">
        <v>13</v>
      </c>
      <c r="C2" s="3" t="s">
        <v>14</v>
      </c>
      <c r="D2" s="4" t="n">
        <v>15</v>
      </c>
      <c r="E2" s="5" t="s">
        <v>15</v>
      </c>
      <c r="F2" s="3" t="s">
        <v>16</v>
      </c>
      <c r="G2" s="3" t="s">
        <v>17</v>
      </c>
      <c r="H2" s="3"/>
      <c r="I2" s="3" t="s">
        <v>18</v>
      </c>
      <c r="J2" s="3" t="s">
        <v>19</v>
      </c>
      <c r="K2" s="3" t="s">
        <v>20</v>
      </c>
      <c r="L2" s="3"/>
      <c r="M2" s="6" t="s">
        <v>21</v>
      </c>
    </row>
    <row r="3" customFormat="false" ht="69.75" hidden="false" customHeight="true" outlineLevel="0" collapsed="false">
      <c r="A3" s="2" t="n">
        <v>3</v>
      </c>
      <c r="B3" s="2" t="s">
        <v>22</v>
      </c>
      <c r="C3" s="3" t="s">
        <v>23</v>
      </c>
      <c r="D3" s="4" t="n">
        <v>90</v>
      </c>
      <c r="E3" s="5" t="s">
        <v>15</v>
      </c>
      <c r="F3" s="3" t="s">
        <v>16</v>
      </c>
      <c r="G3" s="3" t="s">
        <v>17</v>
      </c>
      <c r="H3" s="3"/>
      <c r="I3" s="3" t="s">
        <v>24</v>
      </c>
      <c r="J3" s="3" t="s">
        <v>25</v>
      </c>
      <c r="K3" s="3" t="s">
        <v>26</v>
      </c>
      <c r="L3" s="3"/>
      <c r="M3" s="6" t="s">
        <v>21</v>
      </c>
    </row>
    <row r="4" customFormat="false" ht="69.75" hidden="false" customHeight="true" outlineLevel="0" collapsed="false">
      <c r="A4" s="2" t="n">
        <v>3</v>
      </c>
      <c r="B4" s="2" t="s">
        <v>27</v>
      </c>
      <c r="C4" s="3" t="s">
        <v>28</v>
      </c>
      <c r="D4" s="4" t="n">
        <v>45</v>
      </c>
      <c r="E4" s="7" t="s">
        <v>29</v>
      </c>
      <c r="F4" s="3" t="s">
        <v>16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  <c r="L4" s="3"/>
      <c r="M4" s="6" t="s">
        <v>21</v>
      </c>
    </row>
    <row r="5" customFormat="false" ht="69.75" hidden="false" customHeight="true" outlineLevel="0" collapsed="false">
      <c r="A5" s="2" t="n">
        <v>3</v>
      </c>
      <c r="B5" s="2" t="s">
        <v>35</v>
      </c>
      <c r="C5" s="3" t="s">
        <v>36</v>
      </c>
      <c r="D5" s="4" t="n">
        <v>30</v>
      </c>
      <c r="E5" s="5" t="s">
        <v>15</v>
      </c>
      <c r="F5" s="3" t="s">
        <v>37</v>
      </c>
      <c r="G5" s="3" t="s">
        <v>16</v>
      </c>
      <c r="H5" s="3"/>
      <c r="I5" s="3" t="s">
        <v>38</v>
      </c>
      <c r="J5" s="3" t="s">
        <v>39</v>
      </c>
      <c r="K5" s="3" t="s">
        <v>40</v>
      </c>
      <c r="L5" s="3" t="s">
        <v>41</v>
      </c>
      <c r="M5" s="8" t="s">
        <v>42</v>
      </c>
    </row>
    <row r="6" customFormat="false" ht="69.75" hidden="false" customHeight="true" outlineLevel="0" collapsed="false">
      <c r="A6" s="2" t="n">
        <v>3</v>
      </c>
      <c r="B6" s="2" t="s">
        <v>43</v>
      </c>
      <c r="C6" s="3" t="s">
        <v>44</v>
      </c>
      <c r="D6" s="4" t="n">
        <v>40</v>
      </c>
      <c r="E6" s="5" t="s">
        <v>15</v>
      </c>
      <c r="F6" s="3" t="s">
        <v>16</v>
      </c>
      <c r="G6" s="3" t="s">
        <v>17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49</v>
      </c>
      <c r="M6" s="8" t="s">
        <v>42</v>
      </c>
    </row>
    <row r="7" customFormat="false" ht="69.75" hidden="false" customHeight="true" outlineLevel="0" collapsed="false">
      <c r="A7" s="2" t="n">
        <v>3</v>
      </c>
      <c r="B7" s="2" t="s">
        <v>50</v>
      </c>
      <c r="C7" s="3" t="s">
        <v>51</v>
      </c>
      <c r="D7" s="4" t="n">
        <v>30</v>
      </c>
      <c r="E7" s="5" t="s">
        <v>15</v>
      </c>
      <c r="F7" s="3" t="s">
        <v>52</v>
      </c>
      <c r="G7" s="3" t="s">
        <v>45</v>
      </c>
      <c r="H7" s="3"/>
      <c r="I7" s="3" t="s">
        <v>53</v>
      </c>
      <c r="J7" s="3" t="s">
        <v>54</v>
      </c>
      <c r="K7" s="3" t="s">
        <v>55</v>
      </c>
      <c r="L7" s="3" t="s">
        <v>56</v>
      </c>
      <c r="M7" s="8" t="s">
        <v>42</v>
      </c>
    </row>
    <row r="8" customFormat="false" ht="69.75" hidden="false" customHeight="true" outlineLevel="0" collapsed="false">
      <c r="A8" s="2" t="n">
        <v>3</v>
      </c>
      <c r="B8" s="2" t="s">
        <v>57</v>
      </c>
      <c r="C8" s="3" t="s">
        <v>58</v>
      </c>
      <c r="D8" s="4" t="n">
        <v>60</v>
      </c>
      <c r="E8" s="9" t="s">
        <v>59</v>
      </c>
      <c r="F8" s="3" t="s">
        <v>16</v>
      </c>
      <c r="G8" s="3" t="s">
        <v>37</v>
      </c>
      <c r="H8" s="3"/>
      <c r="I8" s="3" t="s">
        <v>60</v>
      </c>
      <c r="J8" s="3" t="s">
        <v>61</v>
      </c>
      <c r="K8" s="3" t="s">
        <v>62</v>
      </c>
      <c r="L8" s="3"/>
      <c r="M8" s="8" t="s">
        <v>42</v>
      </c>
    </row>
    <row r="9" customFormat="false" ht="69.75" hidden="false" customHeight="true" outlineLevel="0" collapsed="false">
      <c r="A9" s="2" t="n">
        <v>3</v>
      </c>
      <c r="B9" s="2" t="s">
        <v>63</v>
      </c>
      <c r="C9" s="3" t="s">
        <v>64</v>
      </c>
      <c r="D9" s="4" t="n">
        <v>30</v>
      </c>
      <c r="E9" s="5" t="s">
        <v>15</v>
      </c>
      <c r="F9" s="3" t="s">
        <v>37</v>
      </c>
      <c r="G9" s="3" t="s">
        <v>16</v>
      </c>
      <c r="H9" s="3"/>
      <c r="I9" s="3" t="s">
        <v>65</v>
      </c>
      <c r="J9" s="3" t="s">
        <v>66</v>
      </c>
      <c r="K9" s="3" t="s">
        <v>67</v>
      </c>
      <c r="L9" s="3" t="s">
        <v>68</v>
      </c>
      <c r="M9" s="8" t="s">
        <v>42</v>
      </c>
    </row>
    <row r="10" customFormat="false" ht="69.75" hidden="false" customHeight="true" outlineLevel="0" collapsed="false">
      <c r="A10" s="2" t="n">
        <v>3</v>
      </c>
      <c r="B10" s="2" t="s">
        <v>69</v>
      </c>
      <c r="C10" s="3" t="s">
        <v>70</v>
      </c>
      <c r="D10" s="4" t="n">
        <v>15</v>
      </c>
      <c r="E10" s="5" t="s">
        <v>15</v>
      </c>
      <c r="F10" s="3" t="s">
        <v>16</v>
      </c>
      <c r="G10" s="3" t="s">
        <v>71</v>
      </c>
      <c r="H10" s="3"/>
      <c r="I10" s="3" t="s">
        <v>72</v>
      </c>
      <c r="J10" s="3" t="s">
        <v>73</v>
      </c>
      <c r="K10" s="3" t="s">
        <v>74</v>
      </c>
      <c r="L10" s="3" t="s">
        <v>75</v>
      </c>
      <c r="M10" s="8" t="s">
        <v>42</v>
      </c>
    </row>
    <row r="11" customFormat="false" ht="69.75" hidden="false" customHeight="true" outlineLevel="0" collapsed="false">
      <c r="A11" s="2" t="n">
        <v>3</v>
      </c>
      <c r="B11" s="2" t="s">
        <v>76</v>
      </c>
      <c r="C11" s="3" t="s">
        <v>77</v>
      </c>
      <c r="D11" s="4" t="n">
        <v>30</v>
      </c>
      <c r="E11" s="5" t="s">
        <v>15</v>
      </c>
      <c r="F11" s="3" t="s">
        <v>16</v>
      </c>
      <c r="G11" s="3" t="s">
        <v>17</v>
      </c>
      <c r="H11" s="3" t="s">
        <v>78</v>
      </c>
      <c r="I11" s="3" t="s">
        <v>79</v>
      </c>
      <c r="J11" s="3" t="s">
        <v>80</v>
      </c>
      <c r="K11" s="3" t="s">
        <v>81</v>
      </c>
      <c r="L11" s="3" t="s">
        <v>82</v>
      </c>
      <c r="M11" s="8" t="s">
        <v>42</v>
      </c>
    </row>
    <row r="12" customFormat="false" ht="69.75" hidden="false" customHeight="true" outlineLevel="0" collapsed="false">
      <c r="A12" s="2" t="n">
        <v>3</v>
      </c>
      <c r="B12" s="2" t="s">
        <v>83</v>
      </c>
      <c r="C12" s="3" t="s">
        <v>84</v>
      </c>
      <c r="D12" s="4" t="n">
        <v>15</v>
      </c>
      <c r="E12" s="5" t="s">
        <v>15</v>
      </c>
      <c r="F12" s="3" t="s">
        <v>16</v>
      </c>
      <c r="G12" s="3"/>
      <c r="H12" s="3"/>
      <c r="I12" s="3" t="s">
        <v>85</v>
      </c>
      <c r="J12" s="3" t="s">
        <v>86</v>
      </c>
      <c r="K12" s="3" t="s">
        <v>20</v>
      </c>
      <c r="L12" s="3" t="s">
        <v>87</v>
      </c>
      <c r="M12" s="8" t="s">
        <v>42</v>
      </c>
    </row>
    <row r="13" customFormat="false" ht="69.75" hidden="false" customHeight="true" outlineLevel="0" collapsed="false">
      <c r="A13" s="2" t="n">
        <v>4</v>
      </c>
      <c r="B13" s="2" t="s">
        <v>88</v>
      </c>
      <c r="C13" s="3" t="s">
        <v>89</v>
      </c>
      <c r="D13" s="4" t="n">
        <v>15</v>
      </c>
      <c r="E13" s="5" t="s">
        <v>15</v>
      </c>
      <c r="F13" s="3" t="s">
        <v>16</v>
      </c>
      <c r="G13" s="3"/>
      <c r="H13" s="3"/>
      <c r="I13" s="3" t="s">
        <v>90</v>
      </c>
      <c r="J13" s="3" t="s">
        <v>91</v>
      </c>
      <c r="K13" s="3" t="s">
        <v>20</v>
      </c>
      <c r="L13" s="3" t="s">
        <v>92</v>
      </c>
      <c r="M13" s="8" t="s">
        <v>42</v>
      </c>
    </row>
    <row r="14" customFormat="false" ht="69.75" hidden="false" customHeight="true" outlineLevel="0" collapsed="false">
      <c r="A14" s="2" t="n">
        <v>4</v>
      </c>
      <c r="B14" s="2" t="s">
        <v>93</v>
      </c>
      <c r="C14" s="3" t="s">
        <v>94</v>
      </c>
      <c r="D14" s="4" t="n">
        <v>45</v>
      </c>
      <c r="E14" s="5" t="s">
        <v>15</v>
      </c>
      <c r="F14" s="3" t="s">
        <v>16</v>
      </c>
      <c r="G14" s="3" t="s">
        <v>17</v>
      </c>
      <c r="H14" s="3" t="s">
        <v>37</v>
      </c>
      <c r="I14" s="3" t="s">
        <v>95</v>
      </c>
      <c r="J14" s="3" t="s">
        <v>96</v>
      </c>
      <c r="K14" s="3" t="s">
        <v>97</v>
      </c>
      <c r="L14" s="3"/>
      <c r="M14" s="8" t="s">
        <v>42</v>
      </c>
    </row>
    <row r="15" customFormat="false" ht="69.75" hidden="false" customHeight="true" outlineLevel="0" collapsed="false">
      <c r="A15" s="2" t="n">
        <v>4</v>
      </c>
      <c r="B15" s="2" t="s">
        <v>98</v>
      </c>
      <c r="C15" s="3" t="s">
        <v>99</v>
      </c>
      <c r="D15" s="4" t="n">
        <v>45</v>
      </c>
      <c r="E15" s="5" t="s">
        <v>15</v>
      </c>
      <c r="F15" s="3" t="s">
        <v>16</v>
      </c>
      <c r="G15" s="3" t="s">
        <v>17</v>
      </c>
      <c r="H15" s="3"/>
      <c r="I15" s="3" t="s">
        <v>100</v>
      </c>
      <c r="J15" s="3" t="s">
        <v>101</v>
      </c>
      <c r="K15" s="3" t="s">
        <v>102</v>
      </c>
      <c r="L15" s="3" t="s">
        <v>103</v>
      </c>
      <c r="M15" s="8" t="s">
        <v>42</v>
      </c>
    </row>
    <row r="16" customFormat="false" ht="69.75" hidden="false" customHeight="true" outlineLevel="0" collapsed="false">
      <c r="A16" s="2" t="n">
        <v>4</v>
      </c>
      <c r="B16" s="2" t="s">
        <v>104</v>
      </c>
      <c r="C16" s="3" t="s">
        <v>105</v>
      </c>
      <c r="D16" s="4" t="n">
        <v>20</v>
      </c>
      <c r="E16" s="5" t="s">
        <v>15</v>
      </c>
      <c r="F16" s="3" t="s">
        <v>16</v>
      </c>
      <c r="G16" s="3" t="s">
        <v>71</v>
      </c>
      <c r="H16" s="3"/>
      <c r="I16" s="3" t="s">
        <v>106</v>
      </c>
      <c r="J16" s="3" t="s">
        <v>107</v>
      </c>
      <c r="K16" s="3" t="s">
        <v>108</v>
      </c>
      <c r="L16" s="3"/>
      <c r="M16" s="8" t="s">
        <v>42</v>
      </c>
    </row>
    <row r="17" customFormat="false" ht="69.75" hidden="false" customHeight="true" outlineLevel="0" collapsed="false">
      <c r="A17" s="2" t="n">
        <v>4</v>
      </c>
      <c r="B17" s="2" t="s">
        <v>109</v>
      </c>
      <c r="C17" s="3" t="s">
        <v>110</v>
      </c>
      <c r="D17" s="4" t="n">
        <v>60</v>
      </c>
      <c r="E17" s="5" t="s">
        <v>15</v>
      </c>
      <c r="F17" s="3" t="s">
        <v>16</v>
      </c>
      <c r="G17" s="3" t="s">
        <v>17</v>
      </c>
      <c r="H17" s="3" t="s">
        <v>111</v>
      </c>
      <c r="I17" s="3" t="s">
        <v>112</v>
      </c>
      <c r="J17" s="3" t="s">
        <v>113</v>
      </c>
      <c r="K17" s="3" t="s">
        <v>114</v>
      </c>
      <c r="L17" s="3" t="s">
        <v>115</v>
      </c>
      <c r="M17" s="6" t="s">
        <v>21</v>
      </c>
    </row>
    <row r="18" customFormat="false" ht="69.75" hidden="false" customHeight="true" outlineLevel="0" collapsed="false">
      <c r="A18" s="2" t="n">
        <v>4</v>
      </c>
      <c r="B18" s="2" t="s">
        <v>116</v>
      </c>
      <c r="C18" s="3" t="s">
        <v>117</v>
      </c>
      <c r="D18" s="4" t="n">
        <v>30</v>
      </c>
      <c r="E18" s="5" t="s">
        <v>15</v>
      </c>
      <c r="F18" s="3" t="s">
        <v>16</v>
      </c>
      <c r="G18" s="3" t="s">
        <v>37</v>
      </c>
      <c r="H18" s="3"/>
      <c r="I18" s="3" t="s">
        <v>118</v>
      </c>
      <c r="J18" s="3" t="s">
        <v>119</v>
      </c>
      <c r="K18" s="3" t="s">
        <v>120</v>
      </c>
      <c r="L18" s="3" t="s">
        <v>121</v>
      </c>
      <c r="M18" s="8" t="s">
        <v>42</v>
      </c>
    </row>
    <row r="19" customFormat="false" ht="69.75" hidden="false" customHeight="true" outlineLevel="0" collapsed="false">
      <c r="A19" s="2" t="n">
        <v>4</v>
      </c>
      <c r="B19" s="2" t="s">
        <v>122</v>
      </c>
      <c r="C19" s="3" t="s">
        <v>123</v>
      </c>
      <c r="D19" s="4" t="n">
        <v>30</v>
      </c>
      <c r="E19" s="5" t="s">
        <v>15</v>
      </c>
      <c r="F19" s="3" t="s">
        <v>16</v>
      </c>
      <c r="G19" s="3" t="s">
        <v>17</v>
      </c>
      <c r="H19" s="3"/>
      <c r="I19" s="3" t="s">
        <v>124</v>
      </c>
      <c r="J19" s="3" t="s">
        <v>125</v>
      </c>
      <c r="K19" s="3" t="s">
        <v>102</v>
      </c>
      <c r="L19" s="3" t="s">
        <v>126</v>
      </c>
      <c r="M19" s="8" t="s">
        <v>42</v>
      </c>
    </row>
    <row r="20" customFormat="false" ht="69.75" hidden="false" customHeight="true" outlineLevel="0" collapsed="false">
      <c r="A20" s="2" t="n">
        <v>4</v>
      </c>
      <c r="B20" s="2" t="s">
        <v>127</v>
      </c>
      <c r="C20" s="3" t="s">
        <v>128</v>
      </c>
      <c r="D20" s="4" t="n">
        <v>30</v>
      </c>
      <c r="E20" s="10" t="s">
        <v>129</v>
      </c>
      <c r="F20" s="3" t="s">
        <v>16</v>
      </c>
      <c r="G20" s="3" t="s">
        <v>130</v>
      </c>
      <c r="H20" s="3"/>
      <c r="I20" s="3" t="s">
        <v>131</v>
      </c>
      <c r="J20" s="3" t="s">
        <v>132</v>
      </c>
      <c r="K20" s="3" t="s">
        <v>102</v>
      </c>
      <c r="L20" s="3"/>
      <c r="M20" s="8" t="s">
        <v>42</v>
      </c>
    </row>
    <row r="21" customFormat="false" ht="69.75" hidden="false" customHeight="true" outlineLevel="0" collapsed="false">
      <c r="A21" s="2" t="n">
        <v>4</v>
      </c>
      <c r="B21" s="2" t="s">
        <v>133</v>
      </c>
      <c r="C21" s="3" t="s">
        <v>134</v>
      </c>
      <c r="D21" s="4" t="n">
        <v>45</v>
      </c>
      <c r="E21" s="9" t="s">
        <v>59</v>
      </c>
      <c r="F21" s="3" t="s">
        <v>16</v>
      </c>
      <c r="G21" s="3" t="s">
        <v>37</v>
      </c>
      <c r="H21" s="3"/>
      <c r="I21" s="3" t="s">
        <v>135</v>
      </c>
      <c r="J21" s="3" t="s">
        <v>136</v>
      </c>
      <c r="K21" s="3" t="s">
        <v>137</v>
      </c>
      <c r="L21" s="3"/>
      <c r="M21" s="8" t="s">
        <v>42</v>
      </c>
    </row>
    <row r="22" customFormat="false" ht="69.75" hidden="false" customHeight="true" outlineLevel="0" collapsed="false">
      <c r="A22" s="2" t="n">
        <v>4</v>
      </c>
      <c r="B22" s="2" t="s">
        <v>138</v>
      </c>
      <c r="C22" s="3" t="s">
        <v>139</v>
      </c>
      <c r="D22" s="4" t="n">
        <v>30</v>
      </c>
      <c r="E22" s="11" t="s">
        <v>52</v>
      </c>
      <c r="F22" s="3" t="s">
        <v>16</v>
      </c>
      <c r="G22" s="3" t="s">
        <v>140</v>
      </c>
      <c r="H22" s="3" t="s">
        <v>141</v>
      </c>
      <c r="I22" s="3" t="s">
        <v>142</v>
      </c>
      <c r="J22" s="3" t="s">
        <v>143</v>
      </c>
      <c r="K22" s="3" t="s">
        <v>144</v>
      </c>
      <c r="L22" s="3" t="s">
        <v>145</v>
      </c>
      <c r="M22" s="8" t="s">
        <v>42</v>
      </c>
    </row>
    <row r="23" customFormat="false" ht="69.75" hidden="false" customHeight="true" outlineLevel="0" collapsed="false">
      <c r="A23" s="2" t="n">
        <v>4</v>
      </c>
      <c r="B23" s="2" t="s">
        <v>146</v>
      </c>
      <c r="C23" s="3" t="s">
        <v>147</v>
      </c>
      <c r="D23" s="4" t="n">
        <v>15</v>
      </c>
      <c r="E23" s="5" t="s">
        <v>15</v>
      </c>
      <c r="F23" s="3" t="s">
        <v>16</v>
      </c>
      <c r="G23" s="3"/>
      <c r="H23" s="3"/>
      <c r="I23" s="3" t="s">
        <v>148</v>
      </c>
      <c r="J23" s="3" t="s">
        <v>149</v>
      </c>
      <c r="K23" s="3" t="s">
        <v>20</v>
      </c>
      <c r="L23" s="3" t="s">
        <v>150</v>
      </c>
      <c r="M23" s="8" t="s">
        <v>42</v>
      </c>
    </row>
    <row r="24" customFormat="false" ht="69.75" hidden="false" customHeight="true" outlineLevel="0" collapsed="false">
      <c r="A24" s="2" t="n">
        <v>5</v>
      </c>
      <c r="B24" s="2" t="s">
        <v>151</v>
      </c>
      <c r="C24" s="3" t="s">
        <v>152</v>
      </c>
      <c r="D24" s="4" t="n">
        <v>15</v>
      </c>
      <c r="E24" s="5" t="s">
        <v>15</v>
      </c>
      <c r="F24" s="3" t="s">
        <v>16</v>
      </c>
      <c r="G24" s="3"/>
      <c r="H24" s="3"/>
      <c r="I24" s="3" t="s">
        <v>153</v>
      </c>
      <c r="J24" s="3" t="s">
        <v>154</v>
      </c>
      <c r="K24" s="3" t="s">
        <v>20</v>
      </c>
      <c r="L24" s="3"/>
      <c r="M24" s="8" t="s">
        <v>42</v>
      </c>
    </row>
    <row r="25" customFormat="false" ht="69.75" hidden="false" customHeight="true" outlineLevel="0" collapsed="false">
      <c r="A25" s="2" t="n">
        <v>5</v>
      </c>
      <c r="B25" s="2" t="s">
        <v>155</v>
      </c>
      <c r="C25" s="3" t="s">
        <v>156</v>
      </c>
      <c r="D25" s="4" t="n">
        <v>45</v>
      </c>
      <c r="E25" s="5" t="s">
        <v>15</v>
      </c>
      <c r="F25" s="3" t="s">
        <v>16</v>
      </c>
      <c r="G25" s="3" t="s">
        <v>17</v>
      </c>
      <c r="H25" s="3"/>
      <c r="I25" s="3" t="s">
        <v>157</v>
      </c>
      <c r="J25" s="3" t="s">
        <v>158</v>
      </c>
      <c r="K25" s="3" t="s">
        <v>102</v>
      </c>
      <c r="L25" s="3" t="s">
        <v>159</v>
      </c>
      <c r="M25" s="8" t="s">
        <v>42</v>
      </c>
    </row>
    <row r="26" customFormat="false" ht="69.75" hidden="false" customHeight="true" outlineLevel="0" collapsed="false">
      <c r="A26" s="2" t="n">
        <v>5</v>
      </c>
      <c r="B26" s="2" t="s">
        <v>160</v>
      </c>
      <c r="C26" s="3" t="s">
        <v>161</v>
      </c>
      <c r="D26" s="4" t="n">
        <v>45</v>
      </c>
      <c r="E26" s="5" t="s">
        <v>15</v>
      </c>
      <c r="F26" s="3" t="s">
        <v>16</v>
      </c>
      <c r="G26" s="3" t="s">
        <v>37</v>
      </c>
      <c r="H26" s="3"/>
      <c r="I26" s="3" t="s">
        <v>162</v>
      </c>
      <c r="J26" s="3" t="s">
        <v>163</v>
      </c>
      <c r="K26" s="3" t="s">
        <v>120</v>
      </c>
      <c r="L26" s="3"/>
      <c r="M26" s="8" t="s">
        <v>42</v>
      </c>
    </row>
    <row r="27" customFormat="false" ht="69.75" hidden="false" customHeight="true" outlineLevel="0" collapsed="false">
      <c r="A27" s="2" t="n">
        <v>5</v>
      </c>
      <c r="B27" s="2" t="s">
        <v>164</v>
      </c>
      <c r="C27" s="3" t="s">
        <v>165</v>
      </c>
      <c r="D27" s="4" t="n">
        <v>60</v>
      </c>
      <c r="E27" s="5" t="s">
        <v>15</v>
      </c>
      <c r="F27" s="3" t="s">
        <v>16</v>
      </c>
      <c r="G27" s="3" t="s">
        <v>37</v>
      </c>
      <c r="H27" s="3" t="s">
        <v>59</v>
      </c>
      <c r="I27" s="3" t="s">
        <v>166</v>
      </c>
      <c r="J27" s="3" t="s">
        <v>167</v>
      </c>
      <c r="K27" s="3" t="s">
        <v>168</v>
      </c>
      <c r="L27" s="3"/>
      <c r="M27" s="8" t="s">
        <v>42</v>
      </c>
    </row>
    <row r="28" customFormat="false" ht="69.75" hidden="false" customHeight="true" outlineLevel="0" collapsed="false">
      <c r="A28" s="2" t="n">
        <v>5</v>
      </c>
      <c r="B28" s="2" t="s">
        <v>169</v>
      </c>
      <c r="C28" s="3" t="s">
        <v>170</v>
      </c>
      <c r="D28" s="4" t="n">
        <v>45</v>
      </c>
      <c r="E28" s="9" t="s">
        <v>59</v>
      </c>
      <c r="F28" s="3" t="s">
        <v>16</v>
      </c>
      <c r="G28" s="3" t="s">
        <v>37</v>
      </c>
      <c r="H28" s="3"/>
      <c r="I28" s="3" t="s">
        <v>171</v>
      </c>
      <c r="J28" s="3" t="s">
        <v>172</v>
      </c>
      <c r="K28" s="3" t="s">
        <v>173</v>
      </c>
      <c r="L28" s="3"/>
      <c r="M28" s="8" t="s">
        <v>42</v>
      </c>
    </row>
    <row r="29" customFormat="false" ht="69.75" hidden="false" customHeight="true" outlineLevel="0" collapsed="false">
      <c r="A29" s="2" t="n">
        <v>5</v>
      </c>
      <c r="B29" s="2" t="s">
        <v>174</v>
      </c>
      <c r="C29" s="3" t="s">
        <v>175</v>
      </c>
      <c r="D29" s="4" t="n">
        <v>30</v>
      </c>
      <c r="E29" s="5" t="s">
        <v>15</v>
      </c>
      <c r="F29" s="3" t="s">
        <v>16</v>
      </c>
      <c r="G29" s="3" t="s">
        <v>37</v>
      </c>
      <c r="H29" s="3"/>
      <c r="I29" s="3" t="s">
        <v>176</v>
      </c>
      <c r="J29" s="3" t="s">
        <v>177</v>
      </c>
      <c r="K29" s="3" t="s">
        <v>120</v>
      </c>
      <c r="L29" s="3"/>
      <c r="M29" s="8" t="s">
        <v>42</v>
      </c>
    </row>
    <row r="30" customFormat="false" ht="69.75" hidden="false" customHeight="true" outlineLevel="0" collapsed="false">
      <c r="A30" s="2" t="n">
        <v>5</v>
      </c>
      <c r="B30" s="2" t="s">
        <v>178</v>
      </c>
      <c r="C30" s="3" t="s">
        <v>179</v>
      </c>
      <c r="D30" s="4" t="n">
        <v>20</v>
      </c>
      <c r="E30" s="5" t="s">
        <v>15</v>
      </c>
      <c r="F30" s="3" t="s">
        <v>16</v>
      </c>
      <c r="G30" s="3" t="s">
        <v>180</v>
      </c>
      <c r="H30" s="3"/>
      <c r="I30" s="3" t="s">
        <v>181</v>
      </c>
      <c r="J30" s="3" t="s">
        <v>182</v>
      </c>
      <c r="K30" s="3" t="s">
        <v>168</v>
      </c>
      <c r="L30" s="3" t="s">
        <v>183</v>
      </c>
      <c r="M30" s="8" t="s">
        <v>42</v>
      </c>
    </row>
    <row r="31" customFormat="false" ht="69.75" hidden="false" customHeight="true" outlineLevel="0" collapsed="false">
      <c r="A31" s="2" t="n">
        <v>5</v>
      </c>
      <c r="B31" s="2" t="s">
        <v>184</v>
      </c>
      <c r="C31" s="3" t="s">
        <v>185</v>
      </c>
      <c r="D31" s="4" t="n">
        <v>30</v>
      </c>
      <c r="E31" s="10" t="s">
        <v>129</v>
      </c>
      <c r="F31" s="3" t="s">
        <v>16</v>
      </c>
      <c r="G31" s="3" t="s">
        <v>130</v>
      </c>
      <c r="H31" s="3"/>
      <c r="I31" s="3" t="s">
        <v>186</v>
      </c>
      <c r="J31" s="3" t="s">
        <v>187</v>
      </c>
      <c r="K31" s="3" t="s">
        <v>102</v>
      </c>
      <c r="L31" s="3"/>
      <c r="M31" s="8" t="s">
        <v>42</v>
      </c>
    </row>
    <row r="32" customFormat="false" ht="69.75" hidden="false" customHeight="true" outlineLevel="0" collapsed="false">
      <c r="A32" s="2" t="n">
        <v>5</v>
      </c>
      <c r="B32" s="2" t="s">
        <v>188</v>
      </c>
      <c r="C32" s="3" t="s">
        <v>189</v>
      </c>
      <c r="D32" s="4" t="n">
        <v>45</v>
      </c>
      <c r="E32" s="9" t="s">
        <v>59</v>
      </c>
      <c r="F32" s="3" t="s">
        <v>16</v>
      </c>
      <c r="G32" s="3" t="s">
        <v>37</v>
      </c>
      <c r="H32" s="3"/>
      <c r="I32" s="3" t="s">
        <v>190</v>
      </c>
      <c r="J32" s="3" t="s">
        <v>191</v>
      </c>
      <c r="K32" s="3" t="s">
        <v>137</v>
      </c>
      <c r="L32" s="3"/>
      <c r="M32" s="8" t="s">
        <v>42</v>
      </c>
    </row>
    <row r="33" customFormat="false" ht="69.75" hidden="false" customHeight="true" outlineLevel="0" collapsed="false">
      <c r="A33" s="2" t="n">
        <v>5</v>
      </c>
      <c r="B33" s="2" t="s">
        <v>192</v>
      </c>
      <c r="C33" s="3" t="s">
        <v>193</v>
      </c>
      <c r="D33" s="4" t="n">
        <v>30</v>
      </c>
      <c r="E33" s="11" t="s">
        <v>52</v>
      </c>
      <c r="F33" s="3" t="s">
        <v>16</v>
      </c>
      <c r="G33" s="3" t="s">
        <v>140</v>
      </c>
      <c r="H33" s="3" t="s">
        <v>141</v>
      </c>
      <c r="I33" s="3" t="s">
        <v>194</v>
      </c>
      <c r="J33" s="3" t="s">
        <v>195</v>
      </c>
      <c r="K33" s="3" t="s">
        <v>144</v>
      </c>
      <c r="L33" s="3"/>
      <c r="M33" s="8" t="s">
        <v>42</v>
      </c>
    </row>
    <row r="34" customFormat="false" ht="69.75" hidden="false" customHeight="true" outlineLevel="0" collapsed="false">
      <c r="A34" s="2" t="n">
        <v>5</v>
      </c>
      <c r="B34" s="2" t="s">
        <v>196</v>
      </c>
      <c r="C34" s="3" t="s">
        <v>197</v>
      </c>
      <c r="D34" s="4" t="n">
        <v>15</v>
      </c>
      <c r="E34" s="5" t="s">
        <v>15</v>
      </c>
      <c r="F34" s="3" t="s">
        <v>16</v>
      </c>
      <c r="G34" s="3"/>
      <c r="H34" s="3"/>
      <c r="I34" s="3" t="s">
        <v>198</v>
      </c>
      <c r="J34" s="3" t="s">
        <v>199</v>
      </c>
      <c r="K34" s="3" t="s">
        <v>20</v>
      </c>
      <c r="L34" s="3"/>
      <c r="M34" s="8" t="s">
        <v>42</v>
      </c>
    </row>
    <row r="35" customFormat="false" ht="69.75" hidden="false" customHeight="true" outlineLevel="0" collapsed="false">
      <c r="A35" s="2" t="n">
        <v>6</v>
      </c>
      <c r="B35" s="2" t="s">
        <v>200</v>
      </c>
      <c r="C35" s="3" t="s">
        <v>201</v>
      </c>
      <c r="D35" s="4" t="n">
        <v>15</v>
      </c>
      <c r="E35" s="5" t="s">
        <v>15</v>
      </c>
      <c r="F35" s="3" t="s">
        <v>16</v>
      </c>
      <c r="G35" s="3"/>
      <c r="H35" s="3"/>
      <c r="I35" s="3" t="s">
        <v>202</v>
      </c>
      <c r="J35" s="3" t="s">
        <v>203</v>
      </c>
      <c r="K35" s="3" t="s">
        <v>20</v>
      </c>
      <c r="L35" s="3" t="s">
        <v>150</v>
      </c>
      <c r="M35" s="8" t="s">
        <v>42</v>
      </c>
    </row>
    <row r="36" customFormat="false" ht="69.75" hidden="false" customHeight="true" outlineLevel="0" collapsed="false">
      <c r="A36" s="2" t="n">
        <v>6</v>
      </c>
      <c r="B36" s="2" t="s">
        <v>204</v>
      </c>
      <c r="C36" s="3" t="s">
        <v>205</v>
      </c>
      <c r="D36" s="4" t="n">
        <v>30</v>
      </c>
      <c r="E36" s="5" t="s">
        <v>15</v>
      </c>
      <c r="F36" s="3" t="s">
        <v>16</v>
      </c>
      <c r="G36" s="3" t="s">
        <v>17</v>
      </c>
      <c r="H36" s="3"/>
      <c r="I36" s="3" t="s">
        <v>206</v>
      </c>
      <c r="J36" s="3" t="s">
        <v>207</v>
      </c>
      <c r="K36" s="3" t="s">
        <v>137</v>
      </c>
      <c r="L36" s="3"/>
      <c r="M36" s="8" t="s">
        <v>42</v>
      </c>
    </row>
    <row r="37" customFormat="false" ht="69.75" hidden="false" customHeight="true" outlineLevel="0" collapsed="false">
      <c r="A37" s="2" t="n">
        <v>6</v>
      </c>
      <c r="B37" s="2" t="s">
        <v>208</v>
      </c>
      <c r="C37" s="3" t="s">
        <v>209</v>
      </c>
      <c r="D37" s="4" t="n">
        <v>60</v>
      </c>
      <c r="E37" s="5" t="s">
        <v>15</v>
      </c>
      <c r="F37" s="3" t="s">
        <v>16</v>
      </c>
      <c r="G37" s="3" t="s">
        <v>37</v>
      </c>
      <c r="H37" s="3" t="s">
        <v>210</v>
      </c>
      <c r="I37" s="3" t="s">
        <v>211</v>
      </c>
      <c r="J37" s="3" t="s">
        <v>212</v>
      </c>
      <c r="K37" s="3" t="s">
        <v>213</v>
      </c>
      <c r="L37" s="3"/>
      <c r="M37" s="8" t="s">
        <v>42</v>
      </c>
    </row>
    <row r="38" customFormat="false" ht="69.75" hidden="false" customHeight="true" outlineLevel="0" collapsed="false">
      <c r="A38" s="2" t="n">
        <v>6</v>
      </c>
      <c r="B38" s="2" t="s">
        <v>214</v>
      </c>
      <c r="C38" s="3" t="s">
        <v>215</v>
      </c>
      <c r="D38" s="4" t="n">
        <v>30</v>
      </c>
      <c r="E38" s="5" t="s">
        <v>15</v>
      </c>
      <c r="F38" s="3" t="s">
        <v>16</v>
      </c>
      <c r="G38" s="3" t="s">
        <v>37</v>
      </c>
      <c r="H38" s="3"/>
      <c r="I38" s="3" t="s">
        <v>216</v>
      </c>
      <c r="J38" s="3" t="s">
        <v>217</v>
      </c>
      <c r="K38" s="3" t="s">
        <v>102</v>
      </c>
      <c r="L38" s="3"/>
      <c r="M38" s="8" t="s">
        <v>42</v>
      </c>
    </row>
    <row r="39" customFormat="false" ht="69.75" hidden="false" customHeight="true" outlineLevel="0" collapsed="false">
      <c r="A39" s="2" t="n">
        <v>6</v>
      </c>
      <c r="B39" s="2" t="s">
        <v>218</v>
      </c>
      <c r="C39" s="3" t="s">
        <v>219</v>
      </c>
      <c r="D39" s="4" t="n">
        <v>45</v>
      </c>
      <c r="E39" s="12" t="s">
        <v>37</v>
      </c>
      <c r="F39" s="3" t="s">
        <v>16</v>
      </c>
      <c r="G39" s="3" t="s">
        <v>220</v>
      </c>
      <c r="H39" s="3"/>
      <c r="I39" s="3" t="s">
        <v>221</v>
      </c>
      <c r="J39" s="3" t="s">
        <v>222</v>
      </c>
      <c r="K39" s="3" t="s">
        <v>223</v>
      </c>
      <c r="L39" s="3"/>
      <c r="M39" s="8" t="s">
        <v>42</v>
      </c>
    </row>
    <row r="40" customFormat="false" ht="69.75" hidden="false" customHeight="true" outlineLevel="0" collapsed="false">
      <c r="A40" s="2" t="n">
        <v>6</v>
      </c>
      <c r="B40" s="2" t="s">
        <v>224</v>
      </c>
      <c r="C40" s="3" t="s">
        <v>225</v>
      </c>
      <c r="D40" s="4" t="n">
        <v>30</v>
      </c>
      <c r="E40" s="5" t="s">
        <v>15</v>
      </c>
      <c r="F40" s="3" t="s">
        <v>16</v>
      </c>
      <c r="G40" s="3" t="s">
        <v>37</v>
      </c>
      <c r="H40" s="3"/>
      <c r="I40" s="3" t="s">
        <v>226</v>
      </c>
      <c r="J40" s="3" t="s">
        <v>227</v>
      </c>
      <c r="K40" s="3" t="s">
        <v>228</v>
      </c>
      <c r="L40" s="3"/>
      <c r="M40" s="8" t="s">
        <v>42</v>
      </c>
    </row>
    <row r="41" customFormat="false" ht="69.75" hidden="false" customHeight="true" outlineLevel="0" collapsed="false">
      <c r="A41" s="2" t="n">
        <v>6</v>
      </c>
      <c r="B41" s="2" t="s">
        <v>229</v>
      </c>
      <c r="C41" s="3" t="s">
        <v>230</v>
      </c>
      <c r="D41" s="4" t="n">
        <v>30</v>
      </c>
      <c r="E41" s="5" t="s">
        <v>15</v>
      </c>
      <c r="F41" s="3" t="s">
        <v>16</v>
      </c>
      <c r="G41" s="3" t="s">
        <v>231</v>
      </c>
      <c r="H41" s="3"/>
      <c r="I41" s="3" t="s">
        <v>232</v>
      </c>
      <c r="J41" s="3" t="s">
        <v>233</v>
      </c>
      <c r="K41" s="3" t="s">
        <v>137</v>
      </c>
      <c r="L41" s="3"/>
      <c r="M41" s="8" t="s">
        <v>42</v>
      </c>
    </row>
    <row r="42" customFormat="false" ht="69.75" hidden="false" customHeight="true" outlineLevel="0" collapsed="false">
      <c r="A42" s="2" t="n">
        <v>6</v>
      </c>
      <c r="B42" s="2" t="s">
        <v>234</v>
      </c>
      <c r="C42" s="3" t="s">
        <v>235</v>
      </c>
      <c r="D42" s="4" t="n">
        <v>30</v>
      </c>
      <c r="E42" s="9" t="s">
        <v>59</v>
      </c>
      <c r="F42" s="3" t="s">
        <v>16</v>
      </c>
      <c r="G42" s="3" t="s">
        <v>37</v>
      </c>
      <c r="H42" s="3"/>
      <c r="I42" s="3" t="s">
        <v>236</v>
      </c>
      <c r="J42" s="3" t="s">
        <v>237</v>
      </c>
      <c r="K42" s="3" t="s">
        <v>238</v>
      </c>
      <c r="L42" s="3"/>
      <c r="M42" s="8" t="s">
        <v>42</v>
      </c>
    </row>
    <row r="43" customFormat="false" ht="69.75" hidden="false" customHeight="true" outlineLevel="0" collapsed="false">
      <c r="A43" s="2" t="n">
        <v>6</v>
      </c>
      <c r="B43" s="2" t="s">
        <v>239</v>
      </c>
      <c r="C43" s="3" t="s">
        <v>240</v>
      </c>
      <c r="D43" s="4" t="n">
        <v>45</v>
      </c>
      <c r="E43" s="11" t="s">
        <v>52</v>
      </c>
      <c r="F43" s="3" t="s">
        <v>16</v>
      </c>
      <c r="G43" s="3" t="s">
        <v>241</v>
      </c>
      <c r="H43" s="3"/>
      <c r="I43" s="3" t="s">
        <v>242</v>
      </c>
      <c r="J43" s="3" t="s">
        <v>243</v>
      </c>
      <c r="K43" s="3" t="s">
        <v>102</v>
      </c>
      <c r="L43" s="3" t="s">
        <v>244</v>
      </c>
      <c r="M43" s="8" t="s">
        <v>42</v>
      </c>
    </row>
    <row r="44" customFormat="false" ht="69.75" hidden="false" customHeight="true" outlineLevel="0" collapsed="false">
      <c r="A44" s="2" t="n">
        <v>6</v>
      </c>
      <c r="B44" s="2" t="s">
        <v>245</v>
      </c>
      <c r="C44" s="3" t="s">
        <v>246</v>
      </c>
      <c r="D44" s="4" t="n">
        <v>30</v>
      </c>
      <c r="E44" s="10" t="s">
        <v>129</v>
      </c>
      <c r="F44" s="3" t="s">
        <v>16</v>
      </c>
      <c r="G44" s="3" t="s">
        <v>130</v>
      </c>
      <c r="H44" s="3"/>
      <c r="I44" s="3" t="s">
        <v>247</v>
      </c>
      <c r="J44" s="3" t="s">
        <v>248</v>
      </c>
      <c r="K44" s="3" t="s">
        <v>102</v>
      </c>
      <c r="L44" s="3"/>
      <c r="M44" s="8" t="s">
        <v>42</v>
      </c>
    </row>
    <row r="45" customFormat="false" ht="69.75" hidden="false" customHeight="true" outlineLevel="0" collapsed="false">
      <c r="A45" s="2" t="n">
        <v>6</v>
      </c>
      <c r="B45" s="2" t="s">
        <v>249</v>
      </c>
      <c r="C45" s="3" t="s">
        <v>250</v>
      </c>
      <c r="D45" s="4" t="n">
        <v>45</v>
      </c>
      <c r="E45" s="9" t="s">
        <v>59</v>
      </c>
      <c r="F45" s="3" t="s">
        <v>16</v>
      </c>
      <c r="G45" s="3" t="s">
        <v>37</v>
      </c>
      <c r="H45" s="3"/>
      <c r="I45" s="3" t="s">
        <v>251</v>
      </c>
      <c r="J45" s="3" t="s">
        <v>252</v>
      </c>
      <c r="K45" s="3" t="s">
        <v>137</v>
      </c>
      <c r="L45" s="3"/>
      <c r="M45" s="8" t="s">
        <v>42</v>
      </c>
    </row>
    <row r="46" customFormat="false" ht="69.75" hidden="false" customHeight="true" outlineLevel="0" collapsed="false">
      <c r="A46" s="2" t="n">
        <v>6</v>
      </c>
      <c r="B46" s="2" t="s">
        <v>253</v>
      </c>
      <c r="C46" s="3" t="s">
        <v>193</v>
      </c>
      <c r="D46" s="4" t="n">
        <v>30</v>
      </c>
      <c r="E46" s="11" t="s">
        <v>52</v>
      </c>
      <c r="F46" s="3" t="s">
        <v>16</v>
      </c>
      <c r="G46" s="3" t="s">
        <v>140</v>
      </c>
      <c r="H46" s="3" t="s">
        <v>141</v>
      </c>
      <c r="I46" s="3" t="s">
        <v>254</v>
      </c>
      <c r="J46" s="3" t="s">
        <v>255</v>
      </c>
      <c r="K46" s="3" t="s">
        <v>144</v>
      </c>
      <c r="L46" s="3"/>
      <c r="M46" s="8" t="s">
        <v>42</v>
      </c>
    </row>
    <row r="47" customFormat="false" ht="69.75" hidden="false" customHeight="true" outlineLevel="0" collapsed="false">
      <c r="A47" s="2" t="n">
        <v>6</v>
      </c>
      <c r="B47" s="2" t="s">
        <v>256</v>
      </c>
      <c r="C47" s="3" t="s">
        <v>257</v>
      </c>
      <c r="D47" s="4" t="n">
        <v>15</v>
      </c>
      <c r="E47" s="5" t="s">
        <v>15</v>
      </c>
      <c r="F47" s="3" t="s">
        <v>16</v>
      </c>
      <c r="G47" s="3"/>
      <c r="H47" s="3"/>
      <c r="I47" s="3" t="s">
        <v>258</v>
      </c>
      <c r="J47" s="3" t="s">
        <v>259</v>
      </c>
      <c r="K47" s="3" t="s">
        <v>20</v>
      </c>
      <c r="L47" s="3"/>
      <c r="M47" s="8" t="s">
        <v>42</v>
      </c>
    </row>
    <row r="48" customFormat="false" ht="69.75" hidden="false" customHeight="true" outlineLevel="0" collapsed="false">
      <c r="A48" s="2" t="n">
        <v>7</v>
      </c>
      <c r="B48" s="2" t="s">
        <v>260</v>
      </c>
      <c r="C48" s="3" t="s">
        <v>261</v>
      </c>
      <c r="D48" s="4" t="n">
        <v>15</v>
      </c>
      <c r="E48" s="5" t="s">
        <v>15</v>
      </c>
      <c r="F48" s="3" t="s">
        <v>16</v>
      </c>
      <c r="G48" s="3"/>
      <c r="H48" s="3"/>
      <c r="I48" s="3" t="s">
        <v>262</v>
      </c>
      <c r="J48" s="3" t="s">
        <v>203</v>
      </c>
      <c r="K48" s="3" t="s">
        <v>20</v>
      </c>
      <c r="L48" s="3"/>
      <c r="M48" s="8" t="s">
        <v>42</v>
      </c>
    </row>
    <row r="49" customFormat="false" ht="69.75" hidden="false" customHeight="true" outlineLevel="0" collapsed="false">
      <c r="A49" s="2" t="n">
        <v>7</v>
      </c>
      <c r="B49" s="2" t="s">
        <v>263</v>
      </c>
      <c r="C49" s="3" t="s">
        <v>264</v>
      </c>
      <c r="D49" s="4" t="n">
        <v>45</v>
      </c>
      <c r="E49" s="5" t="s">
        <v>15</v>
      </c>
      <c r="F49" s="3" t="s">
        <v>16</v>
      </c>
      <c r="G49" s="3" t="s">
        <v>17</v>
      </c>
      <c r="H49" s="3"/>
      <c r="I49" s="3" t="s">
        <v>265</v>
      </c>
      <c r="J49" s="3" t="s">
        <v>266</v>
      </c>
      <c r="K49" s="3" t="s">
        <v>102</v>
      </c>
      <c r="L49" s="3"/>
      <c r="M49" s="8" t="s">
        <v>42</v>
      </c>
    </row>
    <row r="50" customFormat="false" ht="69.75" hidden="false" customHeight="true" outlineLevel="0" collapsed="false">
      <c r="A50" s="2" t="n">
        <v>7</v>
      </c>
      <c r="B50" s="2" t="s">
        <v>267</v>
      </c>
      <c r="C50" s="3" t="s">
        <v>268</v>
      </c>
      <c r="D50" s="4" t="n">
        <v>75</v>
      </c>
      <c r="E50" s="5" t="s">
        <v>15</v>
      </c>
      <c r="F50" s="3" t="s">
        <v>16</v>
      </c>
      <c r="G50" s="3" t="s">
        <v>37</v>
      </c>
      <c r="H50" s="3" t="s">
        <v>210</v>
      </c>
      <c r="I50" s="3" t="s">
        <v>269</v>
      </c>
      <c r="J50" s="3" t="s">
        <v>270</v>
      </c>
      <c r="K50" s="3" t="s">
        <v>102</v>
      </c>
      <c r="L50" s="3"/>
      <c r="M50" s="8" t="s">
        <v>42</v>
      </c>
    </row>
    <row r="51" customFormat="false" ht="69.75" hidden="false" customHeight="true" outlineLevel="0" collapsed="false">
      <c r="A51" s="2" t="n">
        <v>7</v>
      </c>
      <c r="B51" s="2" t="s">
        <v>271</v>
      </c>
      <c r="C51" s="3" t="s">
        <v>272</v>
      </c>
      <c r="D51" s="4" t="n">
        <v>30</v>
      </c>
      <c r="E51" s="5" t="s">
        <v>15</v>
      </c>
      <c r="F51" s="3" t="s">
        <v>16</v>
      </c>
      <c r="G51" s="3" t="s">
        <v>37</v>
      </c>
      <c r="H51" s="3"/>
      <c r="I51" s="3" t="s">
        <v>273</v>
      </c>
      <c r="J51" s="3" t="s">
        <v>274</v>
      </c>
      <c r="K51" s="3" t="s">
        <v>102</v>
      </c>
      <c r="L51" s="3"/>
      <c r="M51" s="8" t="s">
        <v>42</v>
      </c>
    </row>
    <row r="52" customFormat="false" ht="69.75" hidden="false" customHeight="true" outlineLevel="0" collapsed="false">
      <c r="A52" s="2" t="n">
        <v>7</v>
      </c>
      <c r="B52" s="2" t="s">
        <v>275</v>
      </c>
      <c r="C52" s="3" t="s">
        <v>276</v>
      </c>
      <c r="D52" s="4" t="n">
        <v>30</v>
      </c>
      <c r="E52" s="5" t="s">
        <v>15</v>
      </c>
      <c r="F52" s="3" t="s">
        <v>16</v>
      </c>
      <c r="G52" s="3" t="s">
        <v>17</v>
      </c>
      <c r="H52" s="3" t="s">
        <v>37</v>
      </c>
      <c r="I52" s="3" t="s">
        <v>277</v>
      </c>
      <c r="J52" s="3" t="s">
        <v>278</v>
      </c>
      <c r="K52" s="3" t="s">
        <v>102</v>
      </c>
      <c r="L52" s="3"/>
      <c r="M52" s="8" t="s">
        <v>42</v>
      </c>
    </row>
    <row r="53" customFormat="false" ht="69.75" hidden="false" customHeight="true" outlineLevel="0" collapsed="false">
      <c r="A53" s="2" t="n">
        <v>7</v>
      </c>
      <c r="B53" s="2" t="s">
        <v>279</v>
      </c>
      <c r="C53" s="3" t="s">
        <v>280</v>
      </c>
      <c r="D53" s="4" t="n">
        <v>45</v>
      </c>
      <c r="E53" s="11" t="s">
        <v>52</v>
      </c>
      <c r="F53" s="3" t="s">
        <v>16</v>
      </c>
      <c r="G53" s="3" t="s">
        <v>281</v>
      </c>
      <c r="H53" s="3"/>
      <c r="I53" s="3" t="s">
        <v>282</v>
      </c>
      <c r="J53" s="3" t="s">
        <v>283</v>
      </c>
      <c r="K53" s="3" t="s">
        <v>284</v>
      </c>
      <c r="L53" s="3" t="s">
        <v>244</v>
      </c>
      <c r="M53" s="8" t="s">
        <v>42</v>
      </c>
    </row>
    <row r="54" customFormat="false" ht="69.75" hidden="false" customHeight="true" outlineLevel="0" collapsed="false">
      <c r="A54" s="2" t="n">
        <v>7</v>
      </c>
      <c r="B54" s="2" t="s">
        <v>285</v>
      </c>
      <c r="C54" s="3" t="s">
        <v>286</v>
      </c>
      <c r="D54" s="4" t="n">
        <v>30</v>
      </c>
      <c r="E54" s="10" t="s">
        <v>129</v>
      </c>
      <c r="F54" s="3" t="s">
        <v>16</v>
      </c>
      <c r="G54" s="3" t="s">
        <v>130</v>
      </c>
      <c r="H54" s="3"/>
      <c r="I54" s="3" t="s">
        <v>287</v>
      </c>
      <c r="J54" s="3" t="s">
        <v>288</v>
      </c>
      <c r="K54" s="3" t="s">
        <v>289</v>
      </c>
      <c r="L54" s="3"/>
      <c r="M54" s="8" t="s">
        <v>42</v>
      </c>
    </row>
    <row r="55" customFormat="false" ht="69.75" hidden="false" customHeight="true" outlineLevel="0" collapsed="false">
      <c r="A55" s="2" t="n">
        <v>7</v>
      </c>
      <c r="B55" s="2" t="s">
        <v>290</v>
      </c>
      <c r="C55" s="3" t="s">
        <v>291</v>
      </c>
      <c r="D55" s="4" t="n">
        <v>60</v>
      </c>
      <c r="E55" s="9" t="s">
        <v>59</v>
      </c>
      <c r="F55" s="3" t="s">
        <v>16</v>
      </c>
      <c r="G55" s="3" t="s">
        <v>37</v>
      </c>
      <c r="H55" s="3"/>
      <c r="I55" s="3" t="s">
        <v>292</v>
      </c>
      <c r="J55" s="3" t="s">
        <v>293</v>
      </c>
      <c r="K55" s="3" t="s">
        <v>294</v>
      </c>
      <c r="L55" s="3"/>
      <c r="M55" s="8" t="s">
        <v>42</v>
      </c>
    </row>
    <row r="56" customFormat="false" ht="69.75" hidden="false" customHeight="true" outlineLevel="0" collapsed="false">
      <c r="A56" s="2" t="n">
        <v>7</v>
      </c>
      <c r="B56" s="2" t="s">
        <v>295</v>
      </c>
      <c r="C56" s="3" t="s">
        <v>296</v>
      </c>
      <c r="D56" s="4" t="n">
        <v>30</v>
      </c>
      <c r="E56" s="11" t="s">
        <v>52</v>
      </c>
      <c r="F56" s="3" t="s">
        <v>16</v>
      </c>
      <c r="G56" s="3" t="s">
        <v>140</v>
      </c>
      <c r="H56" s="3" t="s">
        <v>141</v>
      </c>
      <c r="I56" s="3" t="s">
        <v>297</v>
      </c>
      <c r="J56" s="3" t="s">
        <v>298</v>
      </c>
      <c r="K56" s="3" t="s">
        <v>144</v>
      </c>
      <c r="L56" s="3"/>
      <c r="M56" s="8" t="s">
        <v>42</v>
      </c>
    </row>
    <row r="57" customFormat="false" ht="69.75" hidden="false" customHeight="true" outlineLevel="0" collapsed="false">
      <c r="A57" s="2" t="n">
        <v>7</v>
      </c>
      <c r="B57" s="2" t="s">
        <v>299</v>
      </c>
      <c r="C57" s="3" t="s">
        <v>300</v>
      </c>
      <c r="D57" s="4" t="n">
        <v>15</v>
      </c>
      <c r="E57" s="5" t="s">
        <v>15</v>
      </c>
      <c r="F57" s="3" t="s">
        <v>16</v>
      </c>
      <c r="G57" s="3"/>
      <c r="H57" s="3"/>
      <c r="I57" s="3" t="s">
        <v>301</v>
      </c>
      <c r="J57" s="3" t="s">
        <v>302</v>
      </c>
      <c r="K57" s="3" t="s">
        <v>20</v>
      </c>
      <c r="L57" s="3"/>
      <c r="M57" s="8" t="s">
        <v>42</v>
      </c>
    </row>
    <row r="58" customFormat="false" ht="69.75" hidden="false" customHeight="true" outlineLevel="0" collapsed="false">
      <c r="A58" s="2" t="n">
        <v>8</v>
      </c>
      <c r="B58" s="2" t="s">
        <v>303</v>
      </c>
      <c r="C58" s="3" t="s">
        <v>304</v>
      </c>
      <c r="D58" s="4" t="n">
        <v>15</v>
      </c>
      <c r="E58" s="5" t="s">
        <v>15</v>
      </c>
      <c r="F58" s="3" t="s">
        <v>16</v>
      </c>
      <c r="G58" s="3"/>
      <c r="H58" s="3"/>
      <c r="I58" s="3" t="s">
        <v>305</v>
      </c>
      <c r="J58" s="3" t="s">
        <v>203</v>
      </c>
      <c r="K58" s="3" t="s">
        <v>20</v>
      </c>
      <c r="L58" s="3"/>
      <c r="M58" s="8" t="s">
        <v>42</v>
      </c>
    </row>
    <row r="59" customFormat="false" ht="69.75" hidden="false" customHeight="true" outlineLevel="0" collapsed="false">
      <c r="A59" s="2" t="n">
        <v>8</v>
      </c>
      <c r="B59" s="2" t="s">
        <v>306</v>
      </c>
      <c r="C59" s="3" t="s">
        <v>307</v>
      </c>
      <c r="D59" s="4" t="n">
        <v>30</v>
      </c>
      <c r="E59" s="5" t="s">
        <v>15</v>
      </c>
      <c r="F59" s="3" t="s">
        <v>16</v>
      </c>
      <c r="G59" s="3" t="s">
        <v>37</v>
      </c>
      <c r="H59" s="3"/>
      <c r="I59" s="3" t="s">
        <v>308</v>
      </c>
      <c r="J59" s="3" t="s">
        <v>309</v>
      </c>
      <c r="K59" s="3" t="s">
        <v>102</v>
      </c>
      <c r="L59" s="3"/>
      <c r="M59" s="8" t="s">
        <v>42</v>
      </c>
    </row>
    <row r="60" customFormat="false" ht="69.75" hidden="false" customHeight="true" outlineLevel="0" collapsed="false">
      <c r="A60" s="2" t="n">
        <v>8</v>
      </c>
      <c r="B60" s="2" t="s">
        <v>310</v>
      </c>
      <c r="C60" s="3" t="s">
        <v>311</v>
      </c>
      <c r="D60" s="4" t="n">
        <v>60</v>
      </c>
      <c r="E60" s="5" t="s">
        <v>15</v>
      </c>
      <c r="F60" s="3" t="s">
        <v>16</v>
      </c>
      <c r="G60" s="3" t="s">
        <v>37</v>
      </c>
      <c r="H60" s="3" t="s">
        <v>312</v>
      </c>
      <c r="I60" s="3" t="s">
        <v>313</v>
      </c>
      <c r="J60" s="3" t="s">
        <v>314</v>
      </c>
      <c r="K60" s="3" t="s">
        <v>102</v>
      </c>
      <c r="L60" s="3" t="s">
        <v>315</v>
      </c>
      <c r="M60" s="8" t="s">
        <v>42</v>
      </c>
    </row>
    <row r="61" customFormat="false" ht="69.75" hidden="false" customHeight="true" outlineLevel="0" collapsed="false">
      <c r="A61" s="2" t="n">
        <v>8</v>
      </c>
      <c r="B61" s="2" t="s">
        <v>316</v>
      </c>
      <c r="C61" s="3" t="s">
        <v>317</v>
      </c>
      <c r="D61" s="4" t="n">
        <v>30</v>
      </c>
      <c r="E61" s="5" t="s">
        <v>15</v>
      </c>
      <c r="F61" s="3" t="s">
        <v>16</v>
      </c>
      <c r="G61" s="3" t="s">
        <v>180</v>
      </c>
      <c r="H61" s="3"/>
      <c r="I61" s="3" t="s">
        <v>318</v>
      </c>
      <c r="J61" s="3" t="s">
        <v>319</v>
      </c>
      <c r="K61" s="3" t="s">
        <v>102</v>
      </c>
      <c r="L61" s="3" t="s">
        <v>320</v>
      </c>
      <c r="M61" s="8" t="s">
        <v>42</v>
      </c>
    </row>
    <row r="62" customFormat="false" ht="69.75" hidden="false" customHeight="true" outlineLevel="0" collapsed="false">
      <c r="A62" s="2" t="n">
        <v>8</v>
      </c>
      <c r="B62" s="2" t="s">
        <v>321</v>
      </c>
      <c r="C62" s="3" t="s">
        <v>322</v>
      </c>
      <c r="D62" s="4" t="n">
        <v>45</v>
      </c>
      <c r="E62" s="5" t="s">
        <v>15</v>
      </c>
      <c r="F62" s="3" t="s">
        <v>16</v>
      </c>
      <c r="G62" s="3" t="s">
        <v>323</v>
      </c>
      <c r="H62" s="3"/>
      <c r="I62" s="3" t="s">
        <v>324</v>
      </c>
      <c r="J62" s="3" t="s">
        <v>325</v>
      </c>
      <c r="K62" s="3" t="s">
        <v>137</v>
      </c>
      <c r="L62" s="3"/>
      <c r="M62" s="8" t="s">
        <v>42</v>
      </c>
    </row>
    <row r="63" customFormat="false" ht="69.75" hidden="false" customHeight="true" outlineLevel="0" collapsed="false">
      <c r="A63" s="2" t="n">
        <v>8</v>
      </c>
      <c r="B63" s="2" t="s">
        <v>326</v>
      </c>
      <c r="C63" s="3" t="s">
        <v>327</v>
      </c>
      <c r="D63" s="4" t="n">
        <v>30</v>
      </c>
      <c r="E63" s="5" t="s">
        <v>15</v>
      </c>
      <c r="F63" s="3" t="s">
        <v>16</v>
      </c>
      <c r="G63" s="3" t="s">
        <v>328</v>
      </c>
      <c r="H63" s="3"/>
      <c r="I63" s="3" t="s">
        <v>329</v>
      </c>
      <c r="J63" s="3" t="s">
        <v>330</v>
      </c>
      <c r="K63" s="3" t="s">
        <v>20</v>
      </c>
      <c r="L63" s="3" t="s">
        <v>331</v>
      </c>
      <c r="M63" s="8" t="s">
        <v>42</v>
      </c>
    </row>
    <row r="64" customFormat="false" ht="69.75" hidden="false" customHeight="true" outlineLevel="0" collapsed="false">
      <c r="A64" s="2" t="n">
        <v>8</v>
      </c>
      <c r="B64" s="2" t="s">
        <v>332</v>
      </c>
      <c r="C64" s="3" t="s">
        <v>333</v>
      </c>
      <c r="D64" s="4" t="n">
        <v>45</v>
      </c>
      <c r="E64" s="5" t="s">
        <v>15</v>
      </c>
      <c r="F64" s="3" t="s">
        <v>16</v>
      </c>
      <c r="G64" s="3" t="s">
        <v>37</v>
      </c>
      <c r="H64" s="3" t="s">
        <v>59</v>
      </c>
      <c r="I64" s="3" t="s">
        <v>334</v>
      </c>
      <c r="J64" s="3" t="s">
        <v>335</v>
      </c>
      <c r="K64" s="3" t="s">
        <v>336</v>
      </c>
      <c r="L64" s="3"/>
      <c r="M64" s="8" t="s">
        <v>42</v>
      </c>
    </row>
    <row r="65" customFormat="false" ht="69.75" hidden="false" customHeight="true" outlineLevel="0" collapsed="false">
      <c r="A65" s="2" t="n">
        <v>8</v>
      </c>
      <c r="B65" s="2" t="s">
        <v>337</v>
      </c>
      <c r="C65" s="3" t="s">
        <v>338</v>
      </c>
      <c r="D65" s="4" t="n">
        <v>30</v>
      </c>
      <c r="E65" s="13" t="s">
        <v>339</v>
      </c>
      <c r="F65" s="3" t="s">
        <v>340</v>
      </c>
      <c r="G65" s="3" t="s">
        <v>16</v>
      </c>
      <c r="H65" s="3"/>
      <c r="I65" s="3" t="s">
        <v>341</v>
      </c>
      <c r="J65" s="3" t="s">
        <v>342</v>
      </c>
      <c r="K65" s="3" t="s">
        <v>343</v>
      </c>
      <c r="L65" s="3" t="s">
        <v>344</v>
      </c>
      <c r="M65" s="8" t="s">
        <v>42</v>
      </c>
    </row>
    <row r="66" customFormat="false" ht="69.75" hidden="false" customHeight="true" outlineLevel="0" collapsed="false">
      <c r="A66" s="2" t="n">
        <v>8</v>
      </c>
      <c r="B66" s="2" t="s">
        <v>345</v>
      </c>
      <c r="C66" s="3" t="s">
        <v>346</v>
      </c>
      <c r="D66" s="4" t="n">
        <v>30</v>
      </c>
      <c r="E66" s="10" t="s">
        <v>129</v>
      </c>
      <c r="F66" s="3" t="s">
        <v>16</v>
      </c>
      <c r="G66" s="3" t="s">
        <v>130</v>
      </c>
      <c r="H66" s="3"/>
      <c r="I66" s="3" t="s">
        <v>347</v>
      </c>
      <c r="J66" s="3" t="s">
        <v>348</v>
      </c>
      <c r="K66" s="3" t="s">
        <v>102</v>
      </c>
      <c r="L66" s="3"/>
      <c r="M66" s="8" t="s">
        <v>42</v>
      </c>
    </row>
    <row r="67" customFormat="false" ht="69.75" hidden="false" customHeight="true" outlineLevel="0" collapsed="false">
      <c r="A67" s="2" t="n">
        <v>8</v>
      </c>
      <c r="B67" s="2" t="s">
        <v>349</v>
      </c>
      <c r="C67" s="3" t="s">
        <v>350</v>
      </c>
      <c r="D67" s="4" t="n">
        <v>45</v>
      </c>
      <c r="E67" s="9" t="s">
        <v>59</v>
      </c>
      <c r="F67" s="3" t="s">
        <v>16</v>
      </c>
      <c r="G67" s="3" t="s">
        <v>37</v>
      </c>
      <c r="H67" s="3"/>
      <c r="I67" s="3" t="s">
        <v>351</v>
      </c>
      <c r="J67" s="3" t="s">
        <v>352</v>
      </c>
      <c r="K67" s="3" t="s">
        <v>137</v>
      </c>
      <c r="L67" s="3"/>
      <c r="M67" s="8" t="s">
        <v>42</v>
      </c>
    </row>
    <row r="68" customFormat="false" ht="69.75" hidden="false" customHeight="true" outlineLevel="0" collapsed="false">
      <c r="A68" s="2" t="n">
        <v>8</v>
      </c>
      <c r="B68" s="2" t="s">
        <v>353</v>
      </c>
      <c r="C68" s="3" t="s">
        <v>354</v>
      </c>
      <c r="D68" s="4" t="n">
        <v>30</v>
      </c>
      <c r="E68" s="11" t="s">
        <v>52</v>
      </c>
      <c r="F68" s="3" t="s">
        <v>16</v>
      </c>
      <c r="G68" s="3" t="s">
        <v>140</v>
      </c>
      <c r="H68" s="3" t="s">
        <v>141</v>
      </c>
      <c r="I68" s="3" t="s">
        <v>355</v>
      </c>
      <c r="J68" s="3" t="s">
        <v>356</v>
      </c>
      <c r="K68" s="3" t="s">
        <v>144</v>
      </c>
      <c r="L68" s="3"/>
      <c r="M68" s="8" t="s">
        <v>42</v>
      </c>
    </row>
    <row r="69" customFormat="false" ht="69.75" hidden="false" customHeight="true" outlineLevel="0" collapsed="false">
      <c r="A69" s="2" t="n">
        <v>8</v>
      </c>
      <c r="B69" s="2" t="s">
        <v>357</v>
      </c>
      <c r="C69" s="3" t="s">
        <v>358</v>
      </c>
      <c r="D69" s="4" t="n">
        <v>15</v>
      </c>
      <c r="E69" s="5" t="s">
        <v>15</v>
      </c>
      <c r="F69" s="3" t="s">
        <v>16</v>
      </c>
      <c r="G69" s="3"/>
      <c r="H69" s="3"/>
      <c r="I69" s="3" t="s">
        <v>359</v>
      </c>
      <c r="J69" s="3" t="s">
        <v>360</v>
      </c>
      <c r="K69" s="3" t="s">
        <v>20</v>
      </c>
      <c r="L69" s="3"/>
      <c r="M69" s="8" t="s">
        <v>42</v>
      </c>
    </row>
    <row r="70" customFormat="false" ht="69.75" hidden="false" customHeight="true" outlineLevel="0" collapsed="false">
      <c r="A70" s="2" t="n">
        <v>9</v>
      </c>
      <c r="B70" s="2" t="s">
        <v>361</v>
      </c>
      <c r="C70" s="3" t="s">
        <v>362</v>
      </c>
      <c r="D70" s="4" t="n">
        <v>30</v>
      </c>
      <c r="E70" s="5" t="s">
        <v>15</v>
      </c>
      <c r="F70" s="3" t="s">
        <v>16</v>
      </c>
      <c r="G70" s="3" t="s">
        <v>363</v>
      </c>
      <c r="H70" s="3"/>
      <c r="I70" s="3" t="s">
        <v>364</v>
      </c>
      <c r="J70" s="3" t="s">
        <v>365</v>
      </c>
      <c r="K70" s="3" t="s">
        <v>20</v>
      </c>
      <c r="L70" s="3" t="s">
        <v>366</v>
      </c>
      <c r="M70" s="8" t="s">
        <v>42</v>
      </c>
    </row>
    <row r="71" customFormat="false" ht="69.75" hidden="false" customHeight="true" outlineLevel="0" collapsed="false">
      <c r="A71" s="2" t="n">
        <v>9</v>
      </c>
      <c r="B71" s="2" t="s">
        <v>367</v>
      </c>
      <c r="C71" s="3" t="s">
        <v>368</v>
      </c>
      <c r="D71" s="4" t="n">
        <v>45</v>
      </c>
      <c r="E71" s="11" t="s">
        <v>52</v>
      </c>
      <c r="F71" s="3" t="s">
        <v>281</v>
      </c>
      <c r="G71" s="3" t="s">
        <v>16</v>
      </c>
      <c r="H71" s="3"/>
      <c r="I71" s="3" t="s">
        <v>369</v>
      </c>
      <c r="J71" s="3" t="s">
        <v>370</v>
      </c>
      <c r="K71" s="3" t="s">
        <v>284</v>
      </c>
      <c r="L71" s="3"/>
      <c r="M71" s="8" t="s">
        <v>42</v>
      </c>
    </row>
    <row r="72" customFormat="false" ht="69.75" hidden="false" customHeight="true" outlineLevel="0" collapsed="false">
      <c r="A72" s="2" t="n">
        <v>9</v>
      </c>
      <c r="B72" s="2" t="s">
        <v>371</v>
      </c>
      <c r="C72" s="3" t="s">
        <v>372</v>
      </c>
      <c r="D72" s="4" t="n">
        <v>30</v>
      </c>
      <c r="E72" s="11" t="s">
        <v>52</v>
      </c>
      <c r="F72" s="3" t="s">
        <v>16</v>
      </c>
      <c r="G72" s="3" t="s">
        <v>281</v>
      </c>
      <c r="H72" s="3"/>
      <c r="I72" s="3" t="s">
        <v>373</v>
      </c>
      <c r="J72" s="3" t="s">
        <v>374</v>
      </c>
      <c r="K72" s="3" t="s">
        <v>137</v>
      </c>
      <c r="L72" s="3"/>
      <c r="M72" s="8" t="s">
        <v>42</v>
      </c>
    </row>
    <row r="73" customFormat="false" ht="69.75" hidden="false" customHeight="true" outlineLevel="0" collapsed="false">
      <c r="A73" s="2" t="n">
        <v>9</v>
      </c>
      <c r="B73" s="2" t="s">
        <v>375</v>
      </c>
      <c r="C73" s="3" t="s">
        <v>376</v>
      </c>
      <c r="D73" s="4" t="n">
        <v>30</v>
      </c>
      <c r="E73" s="11" t="s">
        <v>52</v>
      </c>
      <c r="F73" s="3" t="s">
        <v>16</v>
      </c>
      <c r="G73" s="3" t="s">
        <v>281</v>
      </c>
      <c r="H73" s="3"/>
      <c r="I73" s="3" t="s">
        <v>377</v>
      </c>
      <c r="J73" s="3" t="s">
        <v>378</v>
      </c>
      <c r="K73" s="3" t="s">
        <v>336</v>
      </c>
      <c r="L73" s="3"/>
      <c r="M73" s="8" t="s">
        <v>42</v>
      </c>
    </row>
    <row r="74" customFormat="false" ht="69.75" hidden="false" customHeight="true" outlineLevel="0" collapsed="false">
      <c r="A74" s="2" t="n">
        <v>9</v>
      </c>
      <c r="B74" s="2" t="s">
        <v>379</v>
      </c>
      <c r="C74" s="3" t="s">
        <v>380</v>
      </c>
      <c r="D74" s="4" t="n">
        <v>30</v>
      </c>
      <c r="E74" s="11" t="s">
        <v>52</v>
      </c>
      <c r="F74" s="3" t="s">
        <v>16</v>
      </c>
      <c r="G74" s="3" t="s">
        <v>281</v>
      </c>
      <c r="H74" s="3"/>
      <c r="I74" s="3" t="s">
        <v>381</v>
      </c>
      <c r="J74" s="3" t="s">
        <v>382</v>
      </c>
      <c r="K74" s="3" t="s">
        <v>102</v>
      </c>
      <c r="L74" s="3"/>
      <c r="M74" s="8" t="s">
        <v>42</v>
      </c>
    </row>
    <row r="75" customFormat="false" ht="69.75" hidden="false" customHeight="true" outlineLevel="0" collapsed="false">
      <c r="A75" s="2" t="n">
        <v>9</v>
      </c>
      <c r="B75" s="2" t="s">
        <v>383</v>
      </c>
      <c r="C75" s="3" t="s">
        <v>384</v>
      </c>
      <c r="D75" s="4" t="n">
        <v>30</v>
      </c>
      <c r="E75" s="11" t="s">
        <v>52</v>
      </c>
      <c r="F75" s="3" t="s">
        <v>16</v>
      </c>
      <c r="G75" s="3" t="s">
        <v>385</v>
      </c>
      <c r="H75" s="3"/>
      <c r="I75" s="3" t="s">
        <v>386</v>
      </c>
      <c r="J75" s="3" t="s">
        <v>387</v>
      </c>
      <c r="K75" s="3" t="s">
        <v>388</v>
      </c>
      <c r="L75" s="3"/>
      <c r="M75" s="8" t="s">
        <v>42</v>
      </c>
    </row>
    <row r="76" customFormat="false" ht="69.75" hidden="false" customHeight="true" outlineLevel="0" collapsed="false">
      <c r="A76" s="2" t="n">
        <v>9</v>
      </c>
      <c r="B76" s="2" t="s">
        <v>389</v>
      </c>
      <c r="C76" s="3" t="s">
        <v>390</v>
      </c>
      <c r="D76" s="4" t="n">
        <v>120</v>
      </c>
      <c r="E76" s="13" t="s">
        <v>339</v>
      </c>
      <c r="F76" s="3" t="s">
        <v>391</v>
      </c>
      <c r="G76" s="3" t="s">
        <v>16</v>
      </c>
      <c r="H76" s="3" t="s">
        <v>140</v>
      </c>
      <c r="I76" s="3" t="s">
        <v>392</v>
      </c>
      <c r="J76" s="3" t="s">
        <v>393</v>
      </c>
      <c r="K76" s="3" t="s">
        <v>394</v>
      </c>
      <c r="L76" s="3" t="s">
        <v>395</v>
      </c>
      <c r="M76" s="8" t="s">
        <v>42</v>
      </c>
    </row>
    <row r="77" customFormat="false" ht="69.75" hidden="false" customHeight="true" outlineLevel="0" collapsed="false">
      <c r="A77" s="2" t="n">
        <v>9</v>
      </c>
      <c r="B77" s="2" t="s">
        <v>396</v>
      </c>
      <c r="C77" s="3" t="s">
        <v>397</v>
      </c>
      <c r="D77" s="4" t="n">
        <v>30</v>
      </c>
      <c r="E77" s="5" t="s">
        <v>15</v>
      </c>
      <c r="F77" s="3" t="s">
        <v>398</v>
      </c>
      <c r="G77" s="3" t="s">
        <v>16</v>
      </c>
      <c r="H77" s="3"/>
      <c r="I77" s="3" t="s">
        <v>399</v>
      </c>
      <c r="J77" s="3" t="s">
        <v>400</v>
      </c>
      <c r="K77" s="3" t="s">
        <v>401</v>
      </c>
      <c r="L77" s="3" t="s">
        <v>402</v>
      </c>
      <c r="M77" s="8" t="s">
        <v>42</v>
      </c>
    </row>
    <row r="78" customFormat="false" ht="69.75" hidden="false" customHeight="true" outlineLevel="0" collapsed="false">
      <c r="A78" s="2" t="n">
        <v>9</v>
      </c>
      <c r="B78" s="2" t="s">
        <v>403</v>
      </c>
      <c r="C78" s="3" t="s">
        <v>404</v>
      </c>
      <c r="D78" s="4" t="n">
        <v>30</v>
      </c>
      <c r="E78" s="5" t="s">
        <v>15</v>
      </c>
      <c r="F78" s="3" t="s">
        <v>16</v>
      </c>
      <c r="G78" s="3" t="s">
        <v>405</v>
      </c>
      <c r="H78" s="3"/>
      <c r="I78" s="3" t="s">
        <v>406</v>
      </c>
      <c r="J78" s="3" t="s">
        <v>407</v>
      </c>
      <c r="K78" s="3" t="s">
        <v>102</v>
      </c>
      <c r="L78" s="3"/>
      <c r="M78" s="8" t="s">
        <v>42</v>
      </c>
    </row>
    <row r="79" customFormat="false" ht="69.75" hidden="false" customHeight="true" outlineLevel="0" collapsed="false">
      <c r="A79" s="2" t="n">
        <v>9</v>
      </c>
      <c r="B79" s="2" t="s">
        <v>408</v>
      </c>
      <c r="C79" s="3" t="s">
        <v>409</v>
      </c>
      <c r="D79" s="4" t="n">
        <v>30</v>
      </c>
      <c r="E79" s="11" t="s">
        <v>52</v>
      </c>
      <c r="F79" s="3" t="s">
        <v>16</v>
      </c>
      <c r="G79" s="3" t="s">
        <v>140</v>
      </c>
      <c r="H79" s="3" t="s">
        <v>141</v>
      </c>
      <c r="I79" s="3" t="s">
        <v>410</v>
      </c>
      <c r="J79" s="3" t="s">
        <v>411</v>
      </c>
      <c r="K79" s="3" t="s">
        <v>144</v>
      </c>
      <c r="L79" s="3"/>
      <c r="M79" s="8" t="s">
        <v>42</v>
      </c>
    </row>
    <row r="80" customFormat="false" ht="69.75" hidden="false" customHeight="true" outlineLevel="0" collapsed="false">
      <c r="A80" s="2" t="n">
        <v>9</v>
      </c>
      <c r="B80" s="2" t="s">
        <v>412</v>
      </c>
      <c r="C80" s="3" t="s">
        <v>413</v>
      </c>
      <c r="D80" s="4" t="n">
        <v>15</v>
      </c>
      <c r="E80" s="5" t="s">
        <v>15</v>
      </c>
      <c r="F80" s="3" t="s">
        <v>16</v>
      </c>
      <c r="G80" s="3"/>
      <c r="H80" s="3"/>
      <c r="I80" s="3" t="s">
        <v>414</v>
      </c>
      <c r="J80" s="3" t="s">
        <v>415</v>
      </c>
      <c r="K80" s="3" t="s">
        <v>20</v>
      </c>
      <c r="L80" s="3"/>
      <c r="M80" s="8" t="s">
        <v>42</v>
      </c>
    </row>
    <row r="81" customFormat="false" ht="69.75" hidden="false" customHeight="true" outlineLevel="0" collapsed="false">
      <c r="A81" s="2" t="n">
        <v>10</v>
      </c>
      <c r="B81" s="2" t="s">
        <v>416</v>
      </c>
      <c r="C81" s="3" t="s">
        <v>417</v>
      </c>
      <c r="D81" s="4" t="n">
        <v>15</v>
      </c>
      <c r="E81" s="5" t="s">
        <v>15</v>
      </c>
      <c r="F81" s="3" t="s">
        <v>16</v>
      </c>
      <c r="G81" s="3"/>
      <c r="H81" s="3"/>
      <c r="I81" s="3" t="s">
        <v>418</v>
      </c>
      <c r="J81" s="3" t="s">
        <v>203</v>
      </c>
      <c r="K81" s="3" t="s">
        <v>20</v>
      </c>
      <c r="L81" s="3"/>
      <c r="M81" s="8" t="s">
        <v>42</v>
      </c>
    </row>
    <row r="82" customFormat="false" ht="69.75" hidden="false" customHeight="true" outlineLevel="0" collapsed="false">
      <c r="A82" s="2" t="n">
        <v>10</v>
      </c>
      <c r="B82" s="2" t="s">
        <v>419</v>
      </c>
      <c r="C82" s="3" t="s">
        <v>420</v>
      </c>
      <c r="D82" s="4" t="n">
        <v>120</v>
      </c>
      <c r="E82" s="5" t="s">
        <v>15</v>
      </c>
      <c r="F82" s="3" t="s">
        <v>16</v>
      </c>
      <c r="G82" s="3" t="s">
        <v>17</v>
      </c>
      <c r="H82" s="3" t="s">
        <v>421</v>
      </c>
      <c r="I82" s="3" t="s">
        <v>422</v>
      </c>
      <c r="J82" s="3" t="s">
        <v>423</v>
      </c>
      <c r="K82" s="3" t="s">
        <v>424</v>
      </c>
      <c r="L82" s="3" t="s">
        <v>425</v>
      </c>
      <c r="M82" s="6" t="s">
        <v>21</v>
      </c>
    </row>
    <row r="83" customFormat="false" ht="69.75" hidden="false" customHeight="true" outlineLevel="0" collapsed="false">
      <c r="A83" s="2" t="n">
        <v>10</v>
      </c>
      <c r="B83" s="2" t="s">
        <v>426</v>
      </c>
      <c r="C83" s="3" t="s">
        <v>427</v>
      </c>
      <c r="D83" s="4" t="n">
        <v>60</v>
      </c>
      <c r="E83" s="5" t="s">
        <v>15</v>
      </c>
      <c r="F83" s="3" t="s">
        <v>16</v>
      </c>
      <c r="G83" s="3" t="s">
        <v>37</v>
      </c>
      <c r="H83" s="3" t="s">
        <v>59</v>
      </c>
      <c r="I83" s="3" t="s">
        <v>428</v>
      </c>
      <c r="J83" s="3" t="s">
        <v>429</v>
      </c>
      <c r="K83" s="3" t="s">
        <v>430</v>
      </c>
      <c r="L83" s="3" t="s">
        <v>431</v>
      </c>
      <c r="M83" s="8" t="s">
        <v>42</v>
      </c>
    </row>
    <row r="84" customFormat="false" ht="69.75" hidden="false" customHeight="true" outlineLevel="0" collapsed="false">
      <c r="A84" s="2" t="n">
        <v>10</v>
      </c>
      <c r="B84" s="2" t="s">
        <v>432</v>
      </c>
      <c r="C84" s="3" t="s">
        <v>433</v>
      </c>
      <c r="D84" s="4" t="n">
        <v>45</v>
      </c>
      <c r="E84" s="5" t="s">
        <v>15</v>
      </c>
      <c r="F84" s="3" t="s">
        <v>16</v>
      </c>
      <c r="G84" s="3" t="s">
        <v>17</v>
      </c>
      <c r="H84" s="3" t="s">
        <v>37</v>
      </c>
      <c r="I84" s="3" t="s">
        <v>434</v>
      </c>
      <c r="J84" s="3" t="s">
        <v>435</v>
      </c>
      <c r="K84" s="3" t="s">
        <v>436</v>
      </c>
      <c r="L84" s="3"/>
      <c r="M84" s="8" t="s">
        <v>42</v>
      </c>
    </row>
    <row r="85" customFormat="false" ht="69.75" hidden="false" customHeight="true" outlineLevel="0" collapsed="false">
      <c r="A85" s="2" t="n">
        <v>10</v>
      </c>
      <c r="B85" s="2" t="s">
        <v>437</v>
      </c>
      <c r="C85" s="3" t="s">
        <v>438</v>
      </c>
      <c r="D85" s="4" t="n">
        <v>45</v>
      </c>
      <c r="E85" s="5" t="s">
        <v>15</v>
      </c>
      <c r="F85" s="3" t="s">
        <v>16</v>
      </c>
      <c r="G85" s="3" t="s">
        <v>17</v>
      </c>
      <c r="H85" s="3"/>
      <c r="I85" s="3" t="s">
        <v>439</v>
      </c>
      <c r="J85" s="3" t="s">
        <v>440</v>
      </c>
      <c r="K85" s="3" t="s">
        <v>20</v>
      </c>
      <c r="L85" s="3" t="s">
        <v>441</v>
      </c>
      <c r="M85" s="8" t="s">
        <v>42</v>
      </c>
    </row>
    <row r="86" customFormat="false" ht="69.75" hidden="false" customHeight="true" outlineLevel="0" collapsed="false">
      <c r="A86" s="2" t="n">
        <v>10</v>
      </c>
      <c r="B86" s="2" t="s">
        <v>442</v>
      </c>
      <c r="C86" s="3" t="s">
        <v>443</v>
      </c>
      <c r="D86" s="4" t="n">
        <v>30</v>
      </c>
      <c r="E86" s="5" t="s">
        <v>15</v>
      </c>
      <c r="F86" s="3" t="s">
        <v>16</v>
      </c>
      <c r="G86" s="3" t="s">
        <v>328</v>
      </c>
      <c r="H86" s="3"/>
      <c r="I86" s="3" t="s">
        <v>444</v>
      </c>
      <c r="J86" s="3" t="s">
        <v>445</v>
      </c>
      <c r="K86" s="3" t="s">
        <v>446</v>
      </c>
      <c r="L86" s="3" t="s">
        <v>447</v>
      </c>
      <c r="M86" s="8" t="s">
        <v>42</v>
      </c>
    </row>
    <row r="87" customFormat="false" ht="69.75" hidden="false" customHeight="true" outlineLevel="0" collapsed="false">
      <c r="A87" s="2" t="n">
        <v>10</v>
      </c>
      <c r="B87" s="2" t="s">
        <v>448</v>
      </c>
      <c r="C87" s="3" t="s">
        <v>449</v>
      </c>
      <c r="D87" s="4" t="n">
        <v>30</v>
      </c>
      <c r="E87" s="5" t="s">
        <v>15</v>
      </c>
      <c r="F87" s="3" t="s">
        <v>16</v>
      </c>
      <c r="G87" s="3" t="s">
        <v>450</v>
      </c>
      <c r="H87" s="3"/>
      <c r="I87" s="3" t="s">
        <v>451</v>
      </c>
      <c r="J87" s="3" t="s">
        <v>452</v>
      </c>
      <c r="K87" s="3" t="s">
        <v>453</v>
      </c>
      <c r="L87" s="3" t="s">
        <v>454</v>
      </c>
      <c r="M87" s="8" t="s">
        <v>42</v>
      </c>
    </row>
    <row r="88" customFormat="false" ht="69.75" hidden="false" customHeight="true" outlineLevel="0" collapsed="false">
      <c r="A88" s="2" t="n">
        <v>10</v>
      </c>
      <c r="B88" s="2" t="s">
        <v>455</v>
      </c>
      <c r="C88" s="3" t="s">
        <v>456</v>
      </c>
      <c r="D88" s="4" t="n">
        <v>30</v>
      </c>
      <c r="E88" s="11" t="s">
        <v>52</v>
      </c>
      <c r="F88" s="3" t="s">
        <v>16</v>
      </c>
      <c r="G88" s="3" t="s">
        <v>140</v>
      </c>
      <c r="H88" s="3" t="s">
        <v>141</v>
      </c>
      <c r="I88" s="3" t="s">
        <v>457</v>
      </c>
      <c r="J88" s="3" t="s">
        <v>458</v>
      </c>
      <c r="K88" s="3" t="s">
        <v>144</v>
      </c>
      <c r="L88" s="3"/>
      <c r="M88" s="8" t="s">
        <v>42</v>
      </c>
    </row>
    <row r="89" customFormat="false" ht="69.75" hidden="false" customHeight="true" outlineLevel="0" collapsed="false">
      <c r="A89" s="2" t="n">
        <v>10</v>
      </c>
      <c r="B89" s="2" t="s">
        <v>459</v>
      </c>
      <c r="C89" s="3" t="s">
        <v>460</v>
      </c>
      <c r="D89" s="4" t="n">
        <v>15</v>
      </c>
      <c r="E89" s="5" t="s">
        <v>15</v>
      </c>
      <c r="F89" s="3" t="s">
        <v>16</v>
      </c>
      <c r="G89" s="3"/>
      <c r="H89" s="3"/>
      <c r="I89" s="3" t="s">
        <v>461</v>
      </c>
      <c r="J89" s="3" t="s">
        <v>462</v>
      </c>
      <c r="K89" s="3" t="s">
        <v>20</v>
      </c>
      <c r="L89" s="3" t="s">
        <v>463</v>
      </c>
      <c r="M89" s="8" t="s">
        <v>42</v>
      </c>
    </row>
  </sheetData>
  <autoFilter ref="A1:M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4" t="s">
        <v>464</v>
      </c>
      <c r="B1" s="14"/>
      <c r="C1" s="14"/>
      <c r="D1" s="14"/>
      <c r="E1" s="14"/>
      <c r="F1" s="14"/>
      <c r="G1" s="14"/>
      <c r="H1" s="14"/>
    </row>
    <row r="2" customFormat="false" ht="15" hidden="false" customHeight="false" outlineLevel="0" collapsed="false">
      <c r="A2" s="15" t="s">
        <v>465</v>
      </c>
      <c r="B2" s="15"/>
      <c r="C2" s="15"/>
      <c r="D2" s="15"/>
      <c r="E2" s="15"/>
      <c r="F2" s="15"/>
      <c r="G2" s="15"/>
      <c r="H2" s="15"/>
    </row>
    <row r="4" customFormat="false" ht="26.85" hidden="false" customHeight="false" outlineLevel="0" collapsed="false">
      <c r="A4" s="16" t="s">
        <v>0</v>
      </c>
      <c r="B4" s="16" t="s">
        <v>466</v>
      </c>
      <c r="C4" s="16" t="s">
        <v>467</v>
      </c>
      <c r="D4" s="16" t="s">
        <v>468</v>
      </c>
      <c r="E4" s="16" t="s">
        <v>469</v>
      </c>
      <c r="F4" s="16" t="s">
        <v>470</v>
      </c>
      <c r="G4" s="16" t="s">
        <v>471</v>
      </c>
      <c r="H4" s="16" t="s">
        <v>12</v>
      </c>
    </row>
    <row r="5" customFormat="false" ht="15" hidden="false" customHeight="false" outlineLevel="0" collapsed="false">
      <c r="A5" s="17" t="n">
        <v>3</v>
      </c>
      <c r="B5" s="18" t="n">
        <f aca="false">SUMIF('Content Inventory'!A:A,A5,'Content Inventory'!D:D)</f>
        <v>400</v>
      </c>
      <c r="C5" s="18" t="n">
        <v>540</v>
      </c>
      <c r="D5" s="18" t="n">
        <f aca="false">C5-B5</f>
        <v>140</v>
      </c>
      <c r="E5" s="19" t="n">
        <f aca="false">IFERROR(B5/C5,0)</f>
        <v>0.740740740740741</v>
      </c>
      <c r="F5" s="18" t="n">
        <f aca="false">COUNTIF('Content Inventory'!A:A,A5)</f>
        <v>11</v>
      </c>
      <c r="G5" s="18" t="n">
        <f aca="false">COUNTIFS('Content Inventory'!A:A,A5,'Content Inventory'!M:M,"Draft")</f>
        <v>8</v>
      </c>
      <c r="H5" s="20" t="str">
        <f aca="false">IF(B5&gt;C5,"OVER",IF(B5=C5,"FULL",IF(B5&gt;=C5*0.9,"NEAR FULL","UNDER")))</f>
        <v>UNDER</v>
      </c>
    </row>
    <row r="6" customFormat="false" ht="15" hidden="false" customHeight="false" outlineLevel="0" collapsed="false">
      <c r="A6" s="17" t="n">
        <v>4</v>
      </c>
      <c r="B6" s="18" t="n">
        <f aca="false">SUMIF('Content Inventory'!A:A,A6,'Content Inventory'!D:D)</f>
        <v>365</v>
      </c>
      <c r="C6" s="18" t="n">
        <v>540</v>
      </c>
      <c r="D6" s="18" t="n">
        <f aca="false">C6-B6</f>
        <v>175</v>
      </c>
      <c r="E6" s="19" t="n">
        <f aca="false">IFERROR(B6/C6,0)</f>
        <v>0.675925925925926</v>
      </c>
      <c r="F6" s="18" t="n">
        <f aca="false">COUNTIF('Content Inventory'!A:A,A6)</f>
        <v>11</v>
      </c>
      <c r="G6" s="18" t="n">
        <f aca="false">COUNTIFS('Content Inventory'!A:A,A6,'Content Inventory'!M:M,"Draft")</f>
        <v>10</v>
      </c>
      <c r="H6" s="20" t="str">
        <f aca="false">IF(B6&gt;C6,"OVER",IF(B6=C6,"FULL",IF(B6&gt;=C6*0.9,"NEAR FULL","UNDER")))</f>
        <v>UNDER</v>
      </c>
    </row>
    <row r="7" customFormat="false" ht="15" hidden="false" customHeight="false" outlineLevel="0" collapsed="false">
      <c r="A7" s="17" t="n">
        <v>5</v>
      </c>
      <c r="B7" s="18" t="n">
        <f aca="false">SUMIF('Content Inventory'!A:A,A7,'Content Inventory'!D:D)</f>
        <v>380</v>
      </c>
      <c r="C7" s="18" t="n">
        <v>540</v>
      </c>
      <c r="D7" s="18" t="n">
        <f aca="false">C7-B7</f>
        <v>160</v>
      </c>
      <c r="E7" s="19" t="n">
        <f aca="false">IFERROR(B7/C7,0)</f>
        <v>0.703703703703704</v>
      </c>
      <c r="F7" s="18" t="n">
        <f aca="false">COUNTIF('Content Inventory'!A:A,A7)</f>
        <v>11</v>
      </c>
      <c r="G7" s="18" t="n">
        <f aca="false">COUNTIFS('Content Inventory'!A:A,A7,'Content Inventory'!M:M,"Draft")</f>
        <v>11</v>
      </c>
      <c r="H7" s="20" t="str">
        <f aca="false">IF(B7&gt;C7,"OVER",IF(B7=C7,"FULL",IF(B7&gt;=C7*0.9,"NEAR FULL","UNDER")))</f>
        <v>UNDER</v>
      </c>
    </row>
    <row r="8" customFormat="false" ht="15" hidden="false" customHeight="false" outlineLevel="0" collapsed="false">
      <c r="A8" s="17" t="n">
        <v>6</v>
      </c>
      <c r="B8" s="18" t="n">
        <f aca="false">SUMIF('Content Inventory'!A:A,A8,'Content Inventory'!D:D)</f>
        <v>435</v>
      </c>
      <c r="C8" s="18" t="n">
        <v>540</v>
      </c>
      <c r="D8" s="18" t="n">
        <f aca="false">C8-B8</f>
        <v>105</v>
      </c>
      <c r="E8" s="19" t="n">
        <f aca="false">IFERROR(B8/C8,0)</f>
        <v>0.805555555555556</v>
      </c>
      <c r="F8" s="18" t="n">
        <f aca="false">COUNTIF('Content Inventory'!A:A,A8)</f>
        <v>13</v>
      </c>
      <c r="G8" s="18" t="n">
        <f aca="false">COUNTIFS('Content Inventory'!A:A,A8,'Content Inventory'!M:M,"Draft")</f>
        <v>13</v>
      </c>
      <c r="H8" s="20" t="str">
        <f aca="false">IF(B8&gt;C8,"OVER",IF(B8=C8,"FULL",IF(B8&gt;=C8*0.9,"NEAR FULL","UNDER")))</f>
        <v>UNDER</v>
      </c>
    </row>
    <row r="9" customFormat="false" ht="15" hidden="false" customHeight="false" outlineLevel="0" collapsed="false">
      <c r="A9" s="17" t="n">
        <v>7</v>
      </c>
      <c r="B9" s="18" t="n">
        <f aca="false">SUMIF('Content Inventory'!A:A,A9,'Content Inventory'!D:D)</f>
        <v>375</v>
      </c>
      <c r="C9" s="18" t="n">
        <v>540</v>
      </c>
      <c r="D9" s="18" t="n">
        <f aca="false">C9-B9</f>
        <v>165</v>
      </c>
      <c r="E9" s="19" t="n">
        <f aca="false">IFERROR(B9/C9,0)</f>
        <v>0.694444444444444</v>
      </c>
      <c r="F9" s="18" t="n">
        <f aca="false">COUNTIF('Content Inventory'!A:A,A9)</f>
        <v>10</v>
      </c>
      <c r="G9" s="18" t="n">
        <f aca="false">COUNTIFS('Content Inventory'!A:A,A9,'Content Inventory'!M:M,"Draft")</f>
        <v>10</v>
      </c>
      <c r="H9" s="20" t="str">
        <f aca="false">IF(B9&gt;C9,"OVER",IF(B9=C9,"FULL",IF(B9&gt;=C9*0.9,"NEAR FULL","UNDER")))</f>
        <v>UNDER</v>
      </c>
    </row>
    <row r="10" customFormat="false" ht="15" hidden="false" customHeight="false" outlineLevel="0" collapsed="false">
      <c r="A10" s="17" t="n">
        <v>8</v>
      </c>
      <c r="B10" s="18" t="n">
        <f aca="false">SUMIF('Content Inventory'!A:A,A10,'Content Inventory'!D:D)</f>
        <v>405</v>
      </c>
      <c r="C10" s="18" t="n">
        <v>540</v>
      </c>
      <c r="D10" s="18" t="n">
        <f aca="false">C10-B10</f>
        <v>135</v>
      </c>
      <c r="E10" s="19" t="n">
        <f aca="false">IFERROR(B10/C10,0)</f>
        <v>0.75</v>
      </c>
      <c r="F10" s="18" t="n">
        <f aca="false">COUNTIF('Content Inventory'!A:A,A10)</f>
        <v>12</v>
      </c>
      <c r="G10" s="18" t="n">
        <f aca="false">COUNTIFS('Content Inventory'!A:A,A10,'Content Inventory'!M:M,"Draft")</f>
        <v>12</v>
      </c>
      <c r="H10" s="20" t="str">
        <f aca="false">IF(B10&gt;C10,"OVER",IF(B10=C10,"FULL",IF(B10&gt;=C10*0.9,"NEAR FULL","UNDER")))</f>
        <v>UNDER</v>
      </c>
    </row>
    <row r="11" customFormat="false" ht="15" hidden="false" customHeight="false" outlineLevel="0" collapsed="false">
      <c r="A11" s="17" t="n">
        <v>9</v>
      </c>
      <c r="B11" s="18" t="n">
        <f aca="false">SUMIF('Content Inventory'!A:A,A11,'Content Inventory'!D:D)</f>
        <v>420</v>
      </c>
      <c r="C11" s="18" t="n">
        <v>540</v>
      </c>
      <c r="D11" s="18" t="n">
        <f aca="false">C11-B11</f>
        <v>120</v>
      </c>
      <c r="E11" s="19" t="n">
        <f aca="false">IFERROR(B11/C11,0)</f>
        <v>0.777777777777778</v>
      </c>
      <c r="F11" s="18" t="n">
        <f aca="false">COUNTIF('Content Inventory'!A:A,A11)</f>
        <v>11</v>
      </c>
      <c r="G11" s="18" t="n">
        <f aca="false">COUNTIFS('Content Inventory'!A:A,A11,'Content Inventory'!M:M,"Draft")</f>
        <v>11</v>
      </c>
      <c r="H11" s="20" t="str">
        <f aca="false">IF(B11&gt;C11,"OVER",IF(B11=C11,"FULL",IF(B11&gt;=C11*0.9,"NEAR FULL","UNDER")))</f>
        <v>UNDER</v>
      </c>
    </row>
    <row r="12" customFormat="false" ht="15" hidden="false" customHeight="false" outlineLevel="0" collapsed="false">
      <c r="A12" s="17" t="n">
        <v>10</v>
      </c>
      <c r="B12" s="18" t="n">
        <f aca="false">SUMIF('Content Inventory'!A:A,A12,'Content Inventory'!D:D)</f>
        <v>390</v>
      </c>
      <c r="C12" s="18" t="n">
        <v>540</v>
      </c>
      <c r="D12" s="18" t="n">
        <f aca="false">C12-B12</f>
        <v>150</v>
      </c>
      <c r="E12" s="19" t="n">
        <f aca="false">IFERROR(B12/C12,0)</f>
        <v>0.722222222222222</v>
      </c>
      <c r="F12" s="18" t="n">
        <f aca="false">COUNTIF('Content Inventory'!A:A,A12)</f>
        <v>9</v>
      </c>
      <c r="G12" s="18" t="n">
        <f aca="false">COUNTIFS('Content Inventory'!A:A,A12,'Content Inventory'!M:M,"Draft")</f>
        <v>8</v>
      </c>
      <c r="H12" s="20" t="str">
        <f aca="false">IF(B12&gt;C12,"OVER",IF(B12=C12,"FULL",IF(B12&gt;=C12*0.9,"NEAR FULL","UNDER")))</f>
        <v>UNDER</v>
      </c>
    </row>
    <row r="13" customFormat="false" ht="15" hidden="false" customHeight="false" outlineLevel="0" collapsed="false">
      <c r="A13" s="21" t="s">
        <v>472</v>
      </c>
      <c r="B13" s="22" t="n">
        <f aca="false">SUM(B5:B12)</f>
        <v>3170</v>
      </c>
      <c r="C13" s="22" t="n">
        <f aca="false">SUM(C5:C12)</f>
        <v>4320</v>
      </c>
      <c r="D13" s="22" t="n">
        <f aca="false">C13-B13</f>
        <v>1150</v>
      </c>
      <c r="E13" s="23" t="n">
        <f aca="false">IFERROR(B13/C13,0)</f>
        <v>0.733796296296296</v>
      </c>
      <c r="F13" s="22" t="n">
        <f aca="false">SUM(F5:F12)</f>
        <v>88</v>
      </c>
      <c r="G13" s="22" t="n">
        <f aca="false">SUM(G5:G12)</f>
        <v>83</v>
      </c>
      <c r="H13" s="22"/>
    </row>
  </sheetData>
  <mergeCells count="2">
    <mergeCell ref="A1:H1"/>
    <mergeCell ref="A2:H2"/>
  </mergeCells>
  <conditionalFormatting sqref="H5:H12">
    <cfRule type="cellIs" priority="2" operator="equal" aboveAverage="0" equalAverage="0" bottom="0" percent="0" rank="0" text="" dxfId="15">
      <formula>"OVER"</formula>
    </cfRule>
    <cfRule type="cellIs" priority="3" operator="equal" aboveAverage="0" equalAverage="0" bottom="0" percent="0" rank="0" text="" dxfId="16">
      <formula>"FULL"</formula>
    </cfRule>
    <cfRule type="cellIs" priority="4" operator="equal" aboveAverage="0" equalAverage="0" bottom="0" percent="0" rank="0" text="" dxfId="16">
      <formula>"NEAR FULL"</formula>
    </cfRule>
    <cfRule type="cellIs" priority="5" operator="equal" aboveAverage="0" equalAverage="0" bottom="0" percent="0" rank="0" text="" dxfId="17">
      <formula>"UNDER"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24" t="s">
        <v>473</v>
      </c>
      <c r="B1" s="24"/>
      <c r="C1" s="24"/>
      <c r="D1" s="24"/>
      <c r="E1" s="24"/>
      <c r="F1" s="24"/>
    </row>
    <row r="3" customFormat="false" ht="15" hidden="false" customHeight="false" outlineLevel="0" collapsed="false">
      <c r="A3" s="25" t="s">
        <v>474</v>
      </c>
      <c r="B3" s="25" t="s">
        <v>475</v>
      </c>
      <c r="C3" s="25" t="s">
        <v>476</v>
      </c>
      <c r="D3" s="25" t="s">
        <v>477</v>
      </c>
      <c r="E3" s="25" t="s">
        <v>469</v>
      </c>
      <c r="F3" s="25" t="s">
        <v>478</v>
      </c>
    </row>
    <row r="4" customFormat="false" ht="15" hidden="false" customHeight="false" outlineLevel="0" collapsed="false">
      <c r="A4" s="18" t="s">
        <v>479</v>
      </c>
      <c r="B4" s="18" t="s">
        <v>480</v>
      </c>
      <c r="C4" s="18" t="n">
        <f aca="false">'Day Summary'!B5+'Day Summary'!B6+'Day Summary'!B7</f>
        <v>1145</v>
      </c>
      <c r="D4" s="18" t="n">
        <f aca="false">'Day Summary'!C5+'Day Summary'!C6+'Day Summary'!C7</f>
        <v>1620</v>
      </c>
      <c r="E4" s="19" t="n">
        <f aca="false">IFERROR(C4/D4,0)</f>
        <v>0.70679012345679</v>
      </c>
      <c r="F4" s="18" t="n">
        <f aca="false">'Day Summary'!F5+'Day Summary'!F6+'Day Summary'!F7</f>
        <v>33</v>
      </c>
    </row>
    <row r="5" customFormat="false" ht="15" hidden="false" customHeight="false" outlineLevel="0" collapsed="false">
      <c r="A5" s="18" t="s">
        <v>481</v>
      </c>
      <c r="B5" s="18" t="s">
        <v>482</v>
      </c>
      <c r="C5" s="18" t="n">
        <f aca="false">'Day Summary'!B8+'Day Summary'!B9+'Day Summary'!B10+'Day Summary'!B11+'Day Summary'!B12</f>
        <v>2025</v>
      </c>
      <c r="D5" s="18" t="n">
        <f aca="false">'Day Summary'!C8+'Day Summary'!C9+'Day Summary'!C10+'Day Summary'!C11+'Day Summary'!C12</f>
        <v>2700</v>
      </c>
      <c r="E5" s="19" t="n">
        <f aca="false">IFERROR(C5/D5,0)</f>
        <v>0.75</v>
      </c>
      <c r="F5" s="18" t="n">
        <f aca="false">'Day Summary'!F8+'Day Summary'!F9+'Day Summary'!F10+'Day Summary'!F11+'Day Summary'!F12</f>
        <v>55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8"/>
    <col collapsed="false" customWidth="true" hidden="false" outlineLevel="0" max="3" min="3" style="0" width="30"/>
  </cols>
  <sheetData>
    <row r="1" customFormat="false" ht="27.75" hidden="false" customHeight="true" outlineLevel="0" collapsed="false">
      <c r="A1" s="24" t="s">
        <v>483</v>
      </c>
      <c r="B1" s="24"/>
      <c r="C1" s="24"/>
    </row>
    <row r="3" customFormat="false" ht="15" hidden="false" customHeight="false" outlineLevel="0" collapsed="false">
      <c r="A3" s="26" t="s">
        <v>484</v>
      </c>
    </row>
    <row r="4" customFormat="false" ht="15" hidden="false" customHeight="false" outlineLevel="0" collapsed="false">
      <c r="A4" s="27" t="s">
        <v>21</v>
      </c>
      <c r="B4" s="28" t="s">
        <v>485</v>
      </c>
    </row>
    <row r="5" customFormat="false" ht="15" hidden="false" customHeight="false" outlineLevel="0" collapsed="false">
      <c r="A5" s="29" t="s">
        <v>42</v>
      </c>
      <c r="B5" s="28" t="s">
        <v>486</v>
      </c>
    </row>
    <row r="8" customFormat="false" ht="15" hidden="false" customHeight="false" outlineLevel="0" collapsed="false">
      <c r="A8" s="26" t="s">
        <v>487</v>
      </c>
    </row>
    <row r="9" customFormat="false" ht="15" hidden="false" customHeight="false" outlineLevel="0" collapsed="false">
      <c r="A9" s="30" t="s">
        <v>15</v>
      </c>
    </row>
    <row r="10" customFormat="false" ht="15" hidden="false" customHeight="false" outlineLevel="0" collapsed="false">
      <c r="A10" s="31" t="s">
        <v>488</v>
      </c>
    </row>
    <row r="11" customFormat="false" ht="15" hidden="false" customHeight="false" outlineLevel="0" collapsed="false">
      <c r="A11" s="32" t="s">
        <v>29</v>
      </c>
    </row>
    <row r="12" customFormat="false" ht="15" hidden="false" customHeight="false" outlineLevel="0" collapsed="false">
      <c r="A12" s="33" t="s">
        <v>59</v>
      </c>
    </row>
    <row r="13" customFormat="false" ht="15" hidden="false" customHeight="false" outlineLevel="0" collapsed="false">
      <c r="A13" s="34" t="s">
        <v>129</v>
      </c>
    </row>
    <row r="14" customFormat="false" ht="15" hidden="false" customHeight="false" outlineLevel="0" collapsed="false">
      <c r="A14" s="35" t="s">
        <v>52</v>
      </c>
    </row>
    <row r="15" customFormat="false" ht="15" hidden="false" customHeight="false" outlineLevel="0" collapsed="false">
      <c r="A15" s="36" t="s">
        <v>339</v>
      </c>
    </row>
    <row r="16" customFormat="false" ht="15" hidden="false" customHeight="false" outlineLevel="0" collapsed="false">
      <c r="A16" s="37" t="s">
        <v>37</v>
      </c>
    </row>
    <row r="17" customFormat="false" ht="15" hidden="false" customHeight="false" outlineLevel="0" collapsed="false">
      <c r="A17" s="38" t="s">
        <v>489</v>
      </c>
    </row>
    <row r="20" customFormat="false" ht="15" hidden="false" customHeight="false" outlineLevel="0" collapsed="false">
      <c r="A20" s="26" t="s">
        <v>490</v>
      </c>
    </row>
    <row r="21" customFormat="false" ht="15" hidden="false" customHeight="false" outlineLevel="0" collapsed="false">
      <c r="A21" s="28" t="s">
        <v>491</v>
      </c>
      <c r="B21" s="39" t="s">
        <v>492</v>
      </c>
    </row>
    <row r="22" customFormat="false" ht="15" hidden="false" customHeight="false" outlineLevel="0" collapsed="false">
      <c r="A22" s="28" t="s">
        <v>493</v>
      </c>
      <c r="B22" s="39" t="s">
        <v>494</v>
      </c>
    </row>
    <row r="23" customFormat="false" ht="15" hidden="false" customHeight="false" outlineLevel="0" collapsed="false">
      <c r="A23" s="28" t="s">
        <v>495</v>
      </c>
      <c r="B23" s="39" t="s">
        <v>496</v>
      </c>
    </row>
    <row r="24" customFormat="false" ht="15" hidden="false" customHeight="false" outlineLevel="0" collapsed="false">
      <c r="A24" s="28" t="s">
        <v>497</v>
      </c>
      <c r="B24" s="39" t="s">
        <v>498</v>
      </c>
    </row>
    <row r="25" customFormat="false" ht="15" hidden="false" customHeight="false" outlineLevel="0" collapsed="false">
      <c r="A25" s="28" t="s">
        <v>499</v>
      </c>
      <c r="B25" s="39" t="s">
        <v>500</v>
      </c>
    </row>
    <row r="27" customFormat="false" ht="15" hidden="false" customHeight="false" outlineLevel="0" collapsed="false">
      <c r="A27" s="26" t="s">
        <v>501</v>
      </c>
    </row>
    <row r="28" customFormat="false" ht="15" hidden="false" customHeight="false" outlineLevel="0" collapsed="false">
      <c r="A28" s="28" t="s">
        <v>502</v>
      </c>
    </row>
    <row r="29" customFormat="false" ht="15" hidden="false" customHeight="false" outlineLevel="0" collapsed="false">
      <c r="A29" s="28" t="s">
        <v>503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2026-06-26T02:51:18Z</dcterms:created>
  <dc:creator>openpyxl</dc:creator>
  <dc:description/>
  <dc:language>en-US</dc:language>
  <cp:lastModifiedBy/>
  <dcterms:modified xsi:type="dcterms:W3CDTF">2026-06-26T02:51:19Z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